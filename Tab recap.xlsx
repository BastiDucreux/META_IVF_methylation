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ASTIEN_V3/ScriptsGithub/MethylationHRU/"/>
    </mc:Choice>
  </mc:AlternateContent>
  <xr:revisionPtr revIDLastSave="0" documentId="13_ncr:1_{CE8B3A6F-0C80-774E-8D71-AD75750613B9}" xr6:coauthVersionLast="47" xr6:coauthVersionMax="47" xr10:uidLastSave="{00000000-0000-0000-0000-000000000000}"/>
  <bookViews>
    <workbookView xWindow="14180" yWindow="3160" windowWidth="36860" windowHeight="22340" xr2:uid="{83695BB6-C7F9-E740-80CE-EB8AAA4C7EB2}"/>
  </bookViews>
  <sheets>
    <sheet name="Data meta neo R" sheetId="19" r:id="rId1"/>
    <sheet name="Data meta child R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9" i="19" l="1"/>
  <c r="J98" i="19"/>
  <c r="J96" i="19"/>
  <c r="J97" i="19"/>
</calcChain>
</file>

<file path=xl/sharedStrings.xml><?xml version="1.0" encoding="utf-8"?>
<sst xmlns="http://schemas.openxmlformats.org/spreadsheetml/2006/main" count="431" uniqueCount="69">
  <si>
    <t>Tissue</t>
  </si>
  <si>
    <t>GeneGroup</t>
  </si>
  <si>
    <t>Cord blood</t>
  </si>
  <si>
    <t>Placenta</t>
  </si>
  <si>
    <t>KvDMR1</t>
  </si>
  <si>
    <t>CVS</t>
  </si>
  <si>
    <t>MEG3</t>
  </si>
  <si>
    <t>PEG1/MEST</t>
  </si>
  <si>
    <t>PLAGL1</t>
  </si>
  <si>
    <t>PEG3</t>
  </si>
  <si>
    <t>SNURF-SNRPN</t>
  </si>
  <si>
    <t>GRB10</t>
  </si>
  <si>
    <t>IG-DMR</t>
  </si>
  <si>
    <t>GNAS NESP55</t>
  </si>
  <si>
    <t>IGF2R DMR</t>
  </si>
  <si>
    <t>Cord</t>
  </si>
  <si>
    <t>MEG3-DMR</t>
  </si>
  <si>
    <t>H19 CTCF6</t>
  </si>
  <si>
    <t>IGF2 DMR0</t>
  </si>
  <si>
    <t>H19 CTCF3</t>
  </si>
  <si>
    <t>PEG10</t>
  </si>
  <si>
    <t>L3MBTL</t>
  </si>
  <si>
    <t>GNAS XL</t>
  </si>
  <si>
    <t>IGF2 DMR2</t>
  </si>
  <si>
    <t>Blood</t>
  </si>
  <si>
    <t>Buccal</t>
  </si>
  <si>
    <t>Mc</t>
  </si>
  <si>
    <t>Sc</t>
  </si>
  <si>
    <t>Nc</t>
  </si>
  <si>
    <t>Me</t>
  </si>
  <si>
    <t>Se</t>
  </si>
  <si>
    <t>Ne</t>
  </si>
  <si>
    <t>Author</t>
  </si>
  <si>
    <t>Shi et al. (2011)</t>
  </si>
  <si>
    <t>Rancourt et al. (2012)</t>
  </si>
  <si>
    <t>Nelissen et al. (2013)</t>
  </si>
  <si>
    <t>Tang et al. (2017)</t>
  </si>
  <si>
    <t>Mulder et al. (2020)</t>
  </si>
  <si>
    <t>Wong et al. (2011)</t>
  </si>
  <si>
    <t>Choux et al. (2018)</t>
  </si>
  <si>
    <t>Kanber et al. (2009)</t>
  </si>
  <si>
    <t>Puumala et al. (2012)</t>
  </si>
  <si>
    <t>Oliver et al. (2012)</t>
  </si>
  <si>
    <t>Barberet et al. (2021)</t>
  </si>
  <si>
    <t>Gomes et al. (2009)</t>
  </si>
  <si>
    <t>Kobayashi et al. (2009)</t>
  </si>
  <si>
    <t>Tierling et al. (2010)</t>
  </si>
  <si>
    <t>Zechner et al. (2010)</t>
  </si>
  <si>
    <t>Turan et al. (2010)</t>
  </si>
  <si>
    <t>Zheng et al. (2011)</t>
  </si>
  <si>
    <t>Camprubi et al. (2013)</t>
  </si>
  <si>
    <t>Song et al. (2015)</t>
  </si>
  <si>
    <t>Sakian et al. (2015)</t>
  </si>
  <si>
    <t>Vincent et al. (2016)</t>
  </si>
  <si>
    <t>Whitelaw et al. (2014)</t>
  </si>
  <si>
    <t>IG-DMR/MEG3-DMR</t>
  </si>
  <si>
    <t>Hiura et al. (2017)</t>
  </si>
  <si>
    <t>Chen et al. (2018)</t>
  </si>
  <si>
    <t>Li et al. (2011)</t>
  </si>
  <si>
    <t>Loke et al. (2015)</t>
  </si>
  <si>
    <t>Buccal cells</t>
  </si>
  <si>
    <t>Marjonen et al. (2018)</t>
  </si>
  <si>
    <t>Dong et al. (2019)</t>
  </si>
  <si>
    <t>Liu et al. (2017)</t>
  </si>
  <si>
    <t>Wang et al. (2021)</t>
  </si>
  <si>
    <t>Yao et al. (2020)</t>
  </si>
  <si>
    <t>Zheng et al. (2013)</t>
  </si>
  <si>
    <t>CVS and MS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</si>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</sst>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839A"/>
      <color rgb="FF4AACC6"/>
      <color rgb="FF92CDDC"/>
      <color rgb="FFDBEEF3"/>
      <color rgb="FF59CFBE"/>
      <color rgb="FF6EA3B8"/>
      <color rgb="FFEA9380"/>
      <color rgb="FFF6BA8B"/>
      <color rgb="FFEDD391"/>
      <color rgb="FF67D6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5D46-624E-6D43-849C-3B74A3AEB55D}">
  <dimension ref="A1:J110"/>
  <sheetViews>
    <sheetView tabSelected="1" topLeftCell="A83" workbookViewId="0">
      <selection activeCell="F29" sqref="A1:J110"/>
    </sheetView>
  </sheetViews>
  <sheetFormatPr baseColWidth="10" defaultRowHeight="16" x14ac:dyDescent="0.2"/>
  <cols>
    <col min="1" max="2" width="19.83203125" customWidth="1"/>
  </cols>
  <sheetData>
    <row r="1" spans="1:10" x14ac:dyDescent="0.2">
      <c r="A1" s="3" t="s">
        <v>32</v>
      </c>
      <c r="B1" s="3" t="s">
        <v>68</v>
      </c>
      <c r="C1" s="3" t="s">
        <v>0</v>
      </c>
      <c r="D1" s="3" t="s">
        <v>1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spans="1:10" x14ac:dyDescent="0.2">
      <c r="A2" s="3" t="s">
        <v>46</v>
      </c>
      <c r="B2" s="3">
        <v>2010</v>
      </c>
      <c r="C2" s="3" t="s">
        <v>2</v>
      </c>
      <c r="D2" s="3" t="s">
        <v>7</v>
      </c>
      <c r="E2" s="3">
        <v>38</v>
      </c>
      <c r="F2" s="3">
        <v>3</v>
      </c>
      <c r="G2" s="3">
        <v>73</v>
      </c>
      <c r="H2" s="3">
        <v>38.94</v>
      </c>
      <c r="I2" s="3">
        <v>3.3</v>
      </c>
      <c r="J2" s="3">
        <v>112</v>
      </c>
    </row>
    <row r="3" spans="1:10" x14ac:dyDescent="0.2">
      <c r="A3" s="3" t="s">
        <v>46</v>
      </c>
      <c r="B3" s="3">
        <v>2010</v>
      </c>
      <c r="C3" s="3" t="s">
        <v>2</v>
      </c>
      <c r="D3" s="3" t="s">
        <v>17</v>
      </c>
      <c r="E3" s="3">
        <v>41</v>
      </c>
      <c r="F3" s="3">
        <v>3</v>
      </c>
      <c r="G3" s="3">
        <v>73</v>
      </c>
      <c r="H3" s="3">
        <v>41.69</v>
      </c>
      <c r="I3" s="3">
        <v>3.02</v>
      </c>
      <c r="J3" s="3">
        <v>112</v>
      </c>
    </row>
    <row r="4" spans="1:10" x14ac:dyDescent="0.2">
      <c r="A4" s="3" t="s">
        <v>46</v>
      </c>
      <c r="B4" s="3">
        <v>2010</v>
      </c>
      <c r="C4" s="3" t="s">
        <v>2</v>
      </c>
      <c r="D4" s="3" t="s">
        <v>10</v>
      </c>
      <c r="E4" s="3">
        <v>42</v>
      </c>
      <c r="F4" s="3">
        <v>2</v>
      </c>
      <c r="G4" s="3">
        <v>73</v>
      </c>
      <c r="H4" s="3">
        <v>42</v>
      </c>
      <c r="I4" s="3">
        <v>2.99</v>
      </c>
      <c r="J4" s="3">
        <v>112</v>
      </c>
    </row>
    <row r="5" spans="1:10" x14ac:dyDescent="0.2">
      <c r="A5" s="3" t="s">
        <v>46</v>
      </c>
      <c r="B5" s="3">
        <v>2010</v>
      </c>
      <c r="C5" s="3" t="s">
        <v>2</v>
      </c>
      <c r="D5" s="3" t="s">
        <v>13</v>
      </c>
      <c r="E5" s="3">
        <v>45</v>
      </c>
      <c r="F5" s="3">
        <v>6</v>
      </c>
      <c r="G5" s="3">
        <v>73</v>
      </c>
      <c r="H5" s="3">
        <v>46.06</v>
      </c>
      <c r="I5" s="3">
        <v>6.13</v>
      </c>
      <c r="J5" s="3">
        <v>112</v>
      </c>
    </row>
    <row r="6" spans="1:10" x14ac:dyDescent="0.2">
      <c r="A6" s="3" t="s">
        <v>46</v>
      </c>
      <c r="B6" s="3">
        <v>2010</v>
      </c>
      <c r="C6" s="3" t="s">
        <v>2</v>
      </c>
      <c r="D6" s="3" t="s">
        <v>4</v>
      </c>
      <c r="E6" s="3">
        <v>51</v>
      </c>
      <c r="F6" s="3">
        <v>5</v>
      </c>
      <c r="G6" s="3">
        <v>73</v>
      </c>
      <c r="H6" s="3">
        <v>51.31</v>
      </c>
      <c r="I6" s="3">
        <v>3.73</v>
      </c>
      <c r="J6" s="3">
        <v>112</v>
      </c>
    </row>
    <row r="7" spans="1:10" x14ac:dyDescent="0.2">
      <c r="A7" s="3" t="s">
        <v>46</v>
      </c>
      <c r="B7" s="3">
        <v>2010</v>
      </c>
      <c r="C7" s="3" t="s">
        <v>2</v>
      </c>
      <c r="D7" s="3" t="s">
        <v>12</v>
      </c>
      <c r="E7" s="3">
        <v>53</v>
      </c>
      <c r="F7" s="3">
        <v>2</v>
      </c>
      <c r="G7" s="3">
        <v>73</v>
      </c>
      <c r="H7" s="3">
        <v>51.31</v>
      </c>
      <c r="I7" s="3">
        <v>2.8</v>
      </c>
      <c r="J7" s="3">
        <v>112</v>
      </c>
    </row>
    <row r="8" spans="1:10" x14ac:dyDescent="0.2">
      <c r="A8" s="3" t="s">
        <v>46</v>
      </c>
      <c r="B8" s="3">
        <v>2010</v>
      </c>
      <c r="C8" s="3" t="s">
        <v>2</v>
      </c>
      <c r="D8" s="3" t="s">
        <v>11</v>
      </c>
      <c r="E8" s="3">
        <v>66</v>
      </c>
      <c r="F8" s="3">
        <v>6</v>
      </c>
      <c r="G8" s="3">
        <v>73</v>
      </c>
      <c r="H8" s="3">
        <v>65</v>
      </c>
      <c r="I8" s="3">
        <v>5.31</v>
      </c>
      <c r="J8" s="3">
        <v>112</v>
      </c>
    </row>
    <row r="9" spans="1:10" x14ac:dyDescent="0.2">
      <c r="A9" s="3" t="s">
        <v>38</v>
      </c>
      <c r="B9" s="3">
        <v>2011</v>
      </c>
      <c r="C9" s="3" t="s">
        <v>3</v>
      </c>
      <c r="D9" s="3" t="s">
        <v>17</v>
      </c>
      <c r="E9" s="3">
        <v>44.68</v>
      </c>
      <c r="F9" s="3">
        <v>4.18</v>
      </c>
      <c r="G9" s="3">
        <v>7</v>
      </c>
      <c r="H9" s="3">
        <v>45.59</v>
      </c>
      <c r="I9" s="3">
        <v>5.52</v>
      </c>
      <c r="J9" s="3">
        <v>57</v>
      </c>
    </row>
    <row r="10" spans="1:10" x14ac:dyDescent="0.2">
      <c r="A10" s="3" t="s">
        <v>33</v>
      </c>
      <c r="B10" s="3">
        <v>2011</v>
      </c>
      <c r="C10" s="3" t="s">
        <v>2</v>
      </c>
      <c r="D10" s="3" t="s">
        <v>17</v>
      </c>
      <c r="E10" s="3">
        <v>48.5</v>
      </c>
      <c r="F10" s="3">
        <v>8.6999999999999993</v>
      </c>
      <c r="G10" s="3">
        <v>30</v>
      </c>
      <c r="H10" s="3">
        <v>46.7</v>
      </c>
      <c r="I10" s="3">
        <v>8.1999999999999993</v>
      </c>
      <c r="J10" s="3">
        <v>58</v>
      </c>
    </row>
    <row r="11" spans="1:10" x14ac:dyDescent="0.2">
      <c r="A11" s="3" t="s">
        <v>34</v>
      </c>
      <c r="B11" s="3">
        <v>2012</v>
      </c>
      <c r="C11" s="3" t="s">
        <v>2</v>
      </c>
      <c r="D11" s="3" t="s">
        <v>10</v>
      </c>
      <c r="E11" s="3">
        <v>40.9</v>
      </c>
      <c r="F11" s="3">
        <v>1.8</v>
      </c>
      <c r="G11" s="3">
        <v>45</v>
      </c>
      <c r="H11" s="3">
        <v>40.799999999999997</v>
      </c>
      <c r="I11" s="3">
        <v>2.2999999999999998</v>
      </c>
      <c r="J11" s="3">
        <v>53</v>
      </c>
    </row>
    <row r="12" spans="1:10" x14ac:dyDescent="0.2">
      <c r="A12" s="3" t="s">
        <v>34</v>
      </c>
      <c r="B12" s="3">
        <v>2012</v>
      </c>
      <c r="C12" s="3" t="s">
        <v>3</v>
      </c>
      <c r="D12" s="3" t="s">
        <v>10</v>
      </c>
      <c r="E12" s="3">
        <v>41</v>
      </c>
      <c r="F12" s="3">
        <v>4.4800000000000004</v>
      </c>
      <c r="G12" s="3">
        <v>48</v>
      </c>
      <c r="H12" s="3">
        <v>42.6</v>
      </c>
      <c r="I12" s="3">
        <v>3.72</v>
      </c>
      <c r="J12" s="3">
        <v>59</v>
      </c>
    </row>
    <row r="13" spans="1:10" x14ac:dyDescent="0.2">
      <c r="A13" s="3" t="s">
        <v>34</v>
      </c>
      <c r="B13" s="3">
        <v>2012</v>
      </c>
      <c r="C13" s="3" t="s">
        <v>2</v>
      </c>
      <c r="D13" s="3" t="s">
        <v>17</v>
      </c>
      <c r="E13" s="3">
        <v>42</v>
      </c>
      <c r="F13" s="3">
        <v>1.62</v>
      </c>
      <c r="G13" s="3">
        <v>44</v>
      </c>
      <c r="H13" s="3">
        <v>42.4</v>
      </c>
      <c r="I13" s="3">
        <v>1.96</v>
      </c>
      <c r="J13" s="3">
        <v>54</v>
      </c>
    </row>
    <row r="14" spans="1:10" x14ac:dyDescent="0.2">
      <c r="A14" s="3" t="s">
        <v>34</v>
      </c>
      <c r="B14" s="3">
        <v>2012</v>
      </c>
      <c r="C14" s="3" t="s">
        <v>2</v>
      </c>
      <c r="D14" s="3" t="s">
        <v>4</v>
      </c>
      <c r="E14" s="3">
        <v>42</v>
      </c>
      <c r="F14" s="3">
        <v>1.58</v>
      </c>
      <c r="G14" s="3">
        <v>49</v>
      </c>
      <c r="H14" s="3">
        <v>43.3</v>
      </c>
      <c r="I14" s="3">
        <v>2.59</v>
      </c>
      <c r="J14" s="3">
        <v>52</v>
      </c>
    </row>
    <row r="15" spans="1:10" x14ac:dyDescent="0.2">
      <c r="A15" s="3" t="s">
        <v>34</v>
      </c>
      <c r="B15" s="3">
        <v>2012</v>
      </c>
      <c r="C15" s="3" t="s">
        <v>3</v>
      </c>
      <c r="D15" s="3" t="s">
        <v>4</v>
      </c>
      <c r="E15" s="3">
        <v>42.6</v>
      </c>
      <c r="F15" s="3">
        <v>1.53</v>
      </c>
      <c r="G15" s="3">
        <v>48</v>
      </c>
      <c r="H15" s="3">
        <v>42.7</v>
      </c>
      <c r="I15" s="3">
        <v>1.46</v>
      </c>
      <c r="J15" s="3">
        <v>51</v>
      </c>
    </row>
    <row r="16" spans="1:10" x14ac:dyDescent="0.2">
      <c r="A16" s="3" t="s">
        <v>34</v>
      </c>
      <c r="B16" s="3">
        <v>2012</v>
      </c>
      <c r="C16" s="3" t="s">
        <v>2</v>
      </c>
      <c r="D16" s="3" t="s">
        <v>7</v>
      </c>
      <c r="E16" s="3">
        <v>44.7</v>
      </c>
      <c r="F16" s="3">
        <v>2.36</v>
      </c>
      <c r="G16" s="3">
        <v>38</v>
      </c>
      <c r="H16" s="3">
        <v>45.5</v>
      </c>
      <c r="I16" s="3">
        <v>2.85</v>
      </c>
      <c r="J16" s="3">
        <v>43</v>
      </c>
    </row>
    <row r="17" spans="1:10" x14ac:dyDescent="0.2">
      <c r="A17" s="3" t="s">
        <v>34</v>
      </c>
      <c r="B17" s="3">
        <v>2012</v>
      </c>
      <c r="C17" s="3" t="s">
        <v>3</v>
      </c>
      <c r="D17" s="3" t="s">
        <v>17</v>
      </c>
      <c r="E17" s="3">
        <v>44.8</v>
      </c>
      <c r="F17" s="3">
        <v>2.94</v>
      </c>
      <c r="G17" s="3">
        <v>33</v>
      </c>
      <c r="H17" s="3">
        <v>42.4</v>
      </c>
      <c r="I17" s="3">
        <v>2.36</v>
      </c>
      <c r="J17" s="3">
        <v>59</v>
      </c>
    </row>
    <row r="18" spans="1:10" x14ac:dyDescent="0.2">
      <c r="A18" s="3" t="s">
        <v>34</v>
      </c>
      <c r="B18" s="3">
        <v>2012</v>
      </c>
      <c r="C18" s="3" t="s">
        <v>3</v>
      </c>
      <c r="D18" s="3" t="s">
        <v>11</v>
      </c>
      <c r="E18" s="3">
        <v>46.8</v>
      </c>
      <c r="F18" s="3">
        <v>1.31</v>
      </c>
      <c r="G18" s="3">
        <v>47</v>
      </c>
      <c r="H18" s="3">
        <v>47</v>
      </c>
      <c r="I18" s="3">
        <v>1.06</v>
      </c>
      <c r="J18" s="3">
        <v>49</v>
      </c>
    </row>
    <row r="19" spans="1:10" x14ac:dyDescent="0.2">
      <c r="A19" s="3" t="s">
        <v>34</v>
      </c>
      <c r="B19" s="3">
        <v>2012</v>
      </c>
      <c r="C19" s="3" t="s">
        <v>2</v>
      </c>
      <c r="D19" s="3" t="s">
        <v>11</v>
      </c>
      <c r="E19" s="3">
        <v>47.8</v>
      </c>
      <c r="F19" s="3">
        <v>1.17</v>
      </c>
      <c r="G19" s="3">
        <v>57</v>
      </c>
      <c r="H19" s="3">
        <v>47.6</v>
      </c>
      <c r="I19" s="3">
        <v>1.94</v>
      </c>
      <c r="J19" s="3">
        <v>44</v>
      </c>
    </row>
    <row r="20" spans="1:10" x14ac:dyDescent="0.2">
      <c r="A20" s="3" t="s">
        <v>34</v>
      </c>
      <c r="B20" s="3">
        <v>2012</v>
      </c>
      <c r="C20" s="3" t="s">
        <v>3</v>
      </c>
      <c r="D20" s="3" t="s">
        <v>18</v>
      </c>
      <c r="E20" s="3">
        <v>49.8</v>
      </c>
      <c r="F20" s="3">
        <v>4.5199999999999996</v>
      </c>
      <c r="G20" s="3">
        <v>39</v>
      </c>
      <c r="H20" s="3">
        <v>49.1</v>
      </c>
      <c r="I20" s="3">
        <v>4.1100000000000003</v>
      </c>
      <c r="J20" s="3">
        <v>43</v>
      </c>
    </row>
    <row r="21" spans="1:10" x14ac:dyDescent="0.2">
      <c r="A21" s="3" t="s">
        <v>34</v>
      </c>
      <c r="B21" s="3">
        <v>2012</v>
      </c>
      <c r="C21" s="3" t="s">
        <v>3</v>
      </c>
      <c r="D21" s="3" t="s">
        <v>7</v>
      </c>
      <c r="E21" s="3">
        <v>51</v>
      </c>
      <c r="F21" s="3">
        <v>3.02</v>
      </c>
      <c r="G21" s="3">
        <v>46</v>
      </c>
      <c r="H21" s="3">
        <v>48.2</v>
      </c>
      <c r="I21" s="3">
        <v>2.9</v>
      </c>
      <c r="J21" s="3">
        <v>51</v>
      </c>
    </row>
    <row r="22" spans="1:10" x14ac:dyDescent="0.2">
      <c r="A22" s="3" t="s">
        <v>34</v>
      </c>
      <c r="B22" s="3">
        <v>2012</v>
      </c>
      <c r="C22" s="3" t="s">
        <v>2</v>
      </c>
      <c r="D22" s="3" t="s">
        <v>18</v>
      </c>
      <c r="E22" s="3">
        <v>51.4</v>
      </c>
      <c r="F22" s="3">
        <v>4.09</v>
      </c>
      <c r="G22" s="3">
        <v>37</v>
      </c>
      <c r="H22" s="3">
        <v>51.7</v>
      </c>
      <c r="I22" s="3">
        <v>3.48</v>
      </c>
      <c r="J22" s="3">
        <v>27</v>
      </c>
    </row>
    <row r="23" spans="1:10" x14ac:dyDescent="0.2">
      <c r="A23" s="3" t="s">
        <v>35</v>
      </c>
      <c r="B23" s="3">
        <v>2013</v>
      </c>
      <c r="C23" s="3" t="s">
        <v>3</v>
      </c>
      <c r="D23" s="3" t="s">
        <v>19</v>
      </c>
      <c r="E23" s="3">
        <v>43.25</v>
      </c>
      <c r="F23" s="3">
        <v>2.9580398915498081</v>
      </c>
      <c r="G23" s="3">
        <v>35</v>
      </c>
      <c r="H23" s="3">
        <v>42.32</v>
      </c>
      <c r="I23" s="3">
        <v>2.1297887219158618</v>
      </c>
      <c r="J23" s="3">
        <v>35</v>
      </c>
    </row>
    <row r="24" spans="1:10" x14ac:dyDescent="0.2">
      <c r="A24" s="3" t="s">
        <v>35</v>
      </c>
      <c r="B24" s="3">
        <v>2013</v>
      </c>
      <c r="C24" s="3" t="s">
        <v>3</v>
      </c>
      <c r="D24" s="3" t="s">
        <v>17</v>
      </c>
      <c r="E24" s="3">
        <v>36.58</v>
      </c>
      <c r="F24" s="3">
        <v>6.8626525483955545</v>
      </c>
      <c r="G24" s="3">
        <v>35</v>
      </c>
      <c r="H24" s="3">
        <v>36.229999999999997</v>
      </c>
      <c r="I24" s="3">
        <v>2.7805574980568193</v>
      </c>
      <c r="J24" s="3">
        <v>35</v>
      </c>
    </row>
    <row r="25" spans="1:10" x14ac:dyDescent="0.2">
      <c r="A25" s="3" t="s">
        <v>35</v>
      </c>
      <c r="B25" s="3">
        <v>2013</v>
      </c>
      <c r="C25" s="3" t="s">
        <v>3</v>
      </c>
      <c r="D25" s="3" t="s">
        <v>10</v>
      </c>
      <c r="E25" s="3">
        <v>39.31</v>
      </c>
      <c r="F25" s="3">
        <v>5.9752405809306124</v>
      </c>
      <c r="G25" s="3">
        <v>35</v>
      </c>
      <c r="H25" s="3">
        <v>36.619999999999997</v>
      </c>
      <c r="I25" s="3">
        <v>10.057335631269348</v>
      </c>
      <c r="J25" s="3">
        <v>35</v>
      </c>
    </row>
    <row r="26" spans="1:10" x14ac:dyDescent="0.2">
      <c r="A26" s="3" t="s">
        <v>66</v>
      </c>
      <c r="B26" s="3">
        <v>2013</v>
      </c>
      <c r="C26" s="3" t="s">
        <v>67</v>
      </c>
      <c r="D26" s="3" t="s">
        <v>10</v>
      </c>
      <c r="E26" s="1">
        <v>41.4</v>
      </c>
      <c r="F26" s="1">
        <v>4.5999999999999996</v>
      </c>
      <c r="G26" s="1">
        <v>172</v>
      </c>
      <c r="H26" s="1">
        <v>41.4</v>
      </c>
      <c r="I26" s="1">
        <v>3.9</v>
      </c>
      <c r="J26" s="1">
        <v>148</v>
      </c>
    </row>
    <row r="27" spans="1:10" x14ac:dyDescent="0.2">
      <c r="A27" s="3" t="s">
        <v>35</v>
      </c>
      <c r="B27" s="3">
        <v>2013</v>
      </c>
      <c r="C27" s="3" t="s">
        <v>3</v>
      </c>
      <c r="D27" s="3" t="s">
        <v>9</v>
      </c>
      <c r="E27" s="3">
        <v>45.18</v>
      </c>
      <c r="F27" s="3">
        <v>3.6088086676907656</v>
      </c>
      <c r="G27" s="3">
        <v>35</v>
      </c>
      <c r="H27" s="3">
        <v>44.67</v>
      </c>
      <c r="I27" s="3">
        <v>2.4255927110708426</v>
      </c>
      <c r="J27" s="3">
        <v>35</v>
      </c>
    </row>
    <row r="28" spans="1:10" x14ac:dyDescent="0.2">
      <c r="A28" s="3" t="s">
        <v>35</v>
      </c>
      <c r="B28" s="3">
        <v>2013</v>
      </c>
      <c r="C28" s="3" t="s">
        <v>3</v>
      </c>
      <c r="D28" s="3" t="s">
        <v>4</v>
      </c>
      <c r="E28" s="3">
        <v>48.42</v>
      </c>
      <c r="F28" s="3">
        <v>7.3359389310435237</v>
      </c>
      <c r="G28" s="3">
        <v>35</v>
      </c>
      <c r="H28" s="3">
        <v>46.27</v>
      </c>
      <c r="I28" s="3">
        <v>1.3606983501129117</v>
      </c>
      <c r="J28" s="3">
        <v>35</v>
      </c>
    </row>
    <row r="29" spans="1:10" x14ac:dyDescent="0.2">
      <c r="A29" s="3" t="s">
        <v>66</v>
      </c>
      <c r="B29" s="3">
        <v>2013</v>
      </c>
      <c r="C29" s="3" t="s">
        <v>67</v>
      </c>
      <c r="D29" s="3" t="s">
        <v>4</v>
      </c>
      <c r="E29" s="1">
        <v>48.6</v>
      </c>
      <c r="F29" s="1">
        <v>9.1999999999999993</v>
      </c>
      <c r="G29" s="1">
        <v>172</v>
      </c>
      <c r="H29" s="1">
        <v>49.5</v>
      </c>
      <c r="I29" s="1">
        <v>9.4</v>
      </c>
      <c r="J29" s="1">
        <v>148</v>
      </c>
    </row>
    <row r="30" spans="1:10" x14ac:dyDescent="0.2">
      <c r="A30" s="3" t="s">
        <v>66</v>
      </c>
      <c r="B30" s="3">
        <v>2013</v>
      </c>
      <c r="C30" s="3" t="s">
        <v>67</v>
      </c>
      <c r="D30" s="3" t="s">
        <v>17</v>
      </c>
      <c r="E30" s="1">
        <v>50.2</v>
      </c>
      <c r="F30" s="1">
        <v>8.5</v>
      </c>
      <c r="G30" s="1">
        <v>172</v>
      </c>
      <c r="H30" s="1">
        <v>50</v>
      </c>
      <c r="I30" s="1">
        <v>9.1999999999999993</v>
      </c>
      <c r="J30" s="1">
        <v>148</v>
      </c>
    </row>
    <row r="31" spans="1:10" x14ac:dyDescent="0.2">
      <c r="A31" s="3" t="s">
        <v>35</v>
      </c>
      <c r="B31" s="3">
        <v>2013</v>
      </c>
      <c r="C31" s="3" t="s">
        <v>3</v>
      </c>
      <c r="D31" s="3" t="s">
        <v>6</v>
      </c>
      <c r="E31" s="3">
        <v>28.62</v>
      </c>
      <c r="F31" s="3">
        <v>4.141255848169731</v>
      </c>
      <c r="G31" s="3">
        <v>35</v>
      </c>
      <c r="H31" s="3">
        <v>26.87</v>
      </c>
      <c r="I31" s="3">
        <v>2.603075104563831</v>
      </c>
      <c r="J31" s="3">
        <v>35</v>
      </c>
    </row>
    <row r="32" spans="1:10" x14ac:dyDescent="0.2">
      <c r="A32" s="3" t="s">
        <v>35</v>
      </c>
      <c r="B32" s="3">
        <v>2013</v>
      </c>
      <c r="C32" s="3" t="s">
        <v>3</v>
      </c>
      <c r="D32" s="3" t="s">
        <v>16</v>
      </c>
      <c r="E32" s="3">
        <v>35.76</v>
      </c>
      <c r="F32" s="3">
        <v>5.1469894112966657</v>
      </c>
      <c r="G32" s="3">
        <v>35</v>
      </c>
      <c r="H32" s="3">
        <v>36.53</v>
      </c>
      <c r="I32" s="3">
        <v>4.141255848169731</v>
      </c>
      <c r="J32" s="3">
        <v>35</v>
      </c>
    </row>
    <row r="33" spans="1:10" x14ac:dyDescent="0.2">
      <c r="A33" s="3" t="s">
        <v>35</v>
      </c>
      <c r="B33" s="3">
        <v>2013</v>
      </c>
      <c r="C33" s="3" t="s">
        <v>3</v>
      </c>
      <c r="D33" s="3" t="s">
        <v>7</v>
      </c>
      <c r="E33" s="3">
        <v>61.02</v>
      </c>
      <c r="F33" s="3">
        <v>7.9867077071844825</v>
      </c>
      <c r="G33" s="3">
        <v>35</v>
      </c>
      <c r="H33" s="3">
        <v>54.91</v>
      </c>
      <c r="I33" s="3">
        <v>9.7023708442833705</v>
      </c>
      <c r="J33" s="3">
        <v>35</v>
      </c>
    </row>
    <row r="34" spans="1:10" x14ac:dyDescent="0.2">
      <c r="A34" s="3" t="s">
        <v>35</v>
      </c>
      <c r="B34" s="3">
        <v>2013</v>
      </c>
      <c r="C34" s="3" t="s">
        <v>3</v>
      </c>
      <c r="D34" s="3" t="s">
        <v>18</v>
      </c>
      <c r="E34" s="3">
        <v>51.67</v>
      </c>
      <c r="F34" s="3">
        <v>2.3664319132398464</v>
      </c>
      <c r="G34" s="3">
        <v>35</v>
      </c>
      <c r="H34" s="3">
        <v>51.48</v>
      </c>
      <c r="I34" s="3">
        <v>3.6088086676907656</v>
      </c>
      <c r="J34" s="3">
        <v>35</v>
      </c>
    </row>
    <row r="35" spans="1:10" x14ac:dyDescent="0.2">
      <c r="A35" s="3" t="s">
        <v>52</v>
      </c>
      <c r="B35" s="3">
        <v>2015</v>
      </c>
      <c r="C35" s="3" t="s">
        <v>3</v>
      </c>
      <c r="D35" s="3" t="s">
        <v>17</v>
      </c>
      <c r="E35" s="3">
        <v>49.2</v>
      </c>
      <c r="F35" s="3">
        <v>1.6</v>
      </c>
      <c r="G35" s="3">
        <v>14</v>
      </c>
      <c r="H35" s="3">
        <v>49.47</v>
      </c>
      <c r="I35" s="3">
        <v>2.31</v>
      </c>
      <c r="J35" s="3">
        <v>31</v>
      </c>
    </row>
    <row r="36" spans="1:10" x14ac:dyDescent="0.2">
      <c r="A36" s="3" t="s">
        <v>52</v>
      </c>
      <c r="B36" s="3">
        <v>2015</v>
      </c>
      <c r="C36" s="3" t="s">
        <v>3</v>
      </c>
      <c r="D36" s="3" t="s">
        <v>17</v>
      </c>
      <c r="E36" s="3">
        <v>48.7</v>
      </c>
      <c r="F36" s="3">
        <v>1.7</v>
      </c>
      <c r="G36" s="3">
        <v>8</v>
      </c>
      <c r="H36" s="3">
        <v>49.42</v>
      </c>
      <c r="I36" s="3">
        <v>2.87</v>
      </c>
      <c r="J36" s="3">
        <v>66</v>
      </c>
    </row>
    <row r="37" spans="1:10" x14ac:dyDescent="0.2">
      <c r="A37" s="3" t="s">
        <v>36</v>
      </c>
      <c r="B37" s="3">
        <v>2017</v>
      </c>
      <c r="C37" s="3" t="s">
        <v>2</v>
      </c>
      <c r="D37" s="3" t="s">
        <v>4</v>
      </c>
      <c r="E37" s="3">
        <v>39</v>
      </c>
      <c r="F37" s="3">
        <v>2.4</v>
      </c>
      <c r="G37" s="3">
        <v>30</v>
      </c>
      <c r="H37" s="3">
        <v>38</v>
      </c>
      <c r="I37" s="3">
        <v>2.6</v>
      </c>
      <c r="J37" s="3">
        <v>13</v>
      </c>
    </row>
    <row r="38" spans="1:10" x14ac:dyDescent="0.2">
      <c r="A38" s="3" t="s">
        <v>36</v>
      </c>
      <c r="B38" s="3">
        <v>2017</v>
      </c>
      <c r="C38" s="3" t="s">
        <v>2</v>
      </c>
      <c r="D38" s="3" t="s">
        <v>10</v>
      </c>
      <c r="E38" s="3">
        <v>42.5</v>
      </c>
      <c r="F38" s="3">
        <v>1.6</v>
      </c>
      <c r="G38" s="3">
        <v>30</v>
      </c>
      <c r="H38" s="3">
        <v>42.8</v>
      </c>
      <c r="I38" s="3">
        <v>1.4</v>
      </c>
      <c r="J38" s="3">
        <v>13</v>
      </c>
    </row>
    <row r="39" spans="1:10" x14ac:dyDescent="0.2">
      <c r="A39" s="3" t="s">
        <v>63</v>
      </c>
      <c r="B39" s="3">
        <v>2017</v>
      </c>
      <c r="C39" s="3" t="s">
        <v>5</v>
      </c>
      <c r="D39" s="3" t="s">
        <v>9</v>
      </c>
      <c r="E39" s="1">
        <v>46.3</v>
      </c>
      <c r="F39" s="1">
        <v>7.7</v>
      </c>
      <c r="G39" s="1">
        <v>178</v>
      </c>
      <c r="H39" s="1">
        <v>45.7</v>
      </c>
      <c r="I39" s="1">
        <v>5.7</v>
      </c>
      <c r="J39" s="1">
        <v>159</v>
      </c>
    </row>
    <row r="40" spans="1:10" x14ac:dyDescent="0.2">
      <c r="A40" s="3" t="s">
        <v>63</v>
      </c>
      <c r="B40" s="3">
        <v>2017</v>
      </c>
      <c r="C40" s="3" t="s">
        <v>5</v>
      </c>
      <c r="D40" s="3" t="s">
        <v>11</v>
      </c>
      <c r="E40" s="1">
        <v>48</v>
      </c>
      <c r="F40" s="1">
        <v>12.3</v>
      </c>
      <c r="G40" s="1">
        <v>178</v>
      </c>
      <c r="H40" s="1">
        <v>49.4</v>
      </c>
      <c r="I40" s="1">
        <v>9.3000000000000007</v>
      </c>
      <c r="J40" s="1">
        <v>159</v>
      </c>
    </row>
    <row r="41" spans="1:10" x14ac:dyDescent="0.2">
      <c r="A41" s="3" t="s">
        <v>63</v>
      </c>
      <c r="B41" s="3">
        <v>2017</v>
      </c>
      <c r="C41" s="3" t="s">
        <v>5</v>
      </c>
      <c r="D41" s="3" t="s">
        <v>23</v>
      </c>
      <c r="E41" s="1">
        <v>53.6</v>
      </c>
      <c r="F41" s="1">
        <v>6.9</v>
      </c>
      <c r="G41" s="1">
        <v>178</v>
      </c>
      <c r="H41" s="1">
        <v>54.7</v>
      </c>
      <c r="I41" s="1">
        <v>5.2</v>
      </c>
      <c r="J41" s="1">
        <v>159</v>
      </c>
    </row>
    <row r="42" spans="1:10" x14ac:dyDescent="0.2">
      <c r="A42" s="3" t="s">
        <v>36</v>
      </c>
      <c r="B42" s="3">
        <v>2017</v>
      </c>
      <c r="C42" s="3" t="s">
        <v>2</v>
      </c>
      <c r="D42" s="3" t="s">
        <v>19</v>
      </c>
      <c r="E42" s="3">
        <v>53.9</v>
      </c>
      <c r="F42" s="3">
        <v>2.9</v>
      </c>
      <c r="G42" s="3">
        <v>30</v>
      </c>
      <c r="H42" s="3">
        <v>54.3</v>
      </c>
      <c r="I42" s="3">
        <v>1.7</v>
      </c>
      <c r="J42" s="3">
        <v>13</v>
      </c>
    </row>
    <row r="43" spans="1:10" x14ac:dyDescent="0.2">
      <c r="A43" s="3" t="s">
        <v>39</v>
      </c>
      <c r="B43" s="3">
        <v>2018</v>
      </c>
      <c r="C43" s="3" t="s">
        <v>2</v>
      </c>
      <c r="D43" s="3" t="s">
        <v>4</v>
      </c>
      <c r="E43" s="3">
        <v>37.89</v>
      </c>
      <c r="F43" s="3">
        <v>3.66</v>
      </c>
      <c r="G43" s="3">
        <v>48</v>
      </c>
      <c r="H43" s="3">
        <v>38</v>
      </c>
      <c r="I43" s="3">
        <v>4.4400000000000004</v>
      </c>
      <c r="J43" s="3">
        <v>50</v>
      </c>
    </row>
    <row r="44" spans="1:10" x14ac:dyDescent="0.2">
      <c r="A44" s="3" t="s">
        <v>39</v>
      </c>
      <c r="B44" s="3">
        <v>2018</v>
      </c>
      <c r="C44" s="3" t="s">
        <v>3</v>
      </c>
      <c r="D44" s="3" t="s">
        <v>4</v>
      </c>
      <c r="E44" s="3">
        <v>38.03</v>
      </c>
      <c r="F44" s="3">
        <v>4.01</v>
      </c>
      <c r="G44" s="3">
        <v>48</v>
      </c>
      <c r="H44" s="3">
        <v>35.78</v>
      </c>
      <c r="I44" s="3">
        <v>4.4800000000000004</v>
      </c>
      <c r="J44" s="3">
        <v>51</v>
      </c>
    </row>
    <row r="45" spans="1:10" x14ac:dyDescent="0.2">
      <c r="A45" s="3" t="s">
        <v>39</v>
      </c>
      <c r="B45" s="3">
        <v>2018</v>
      </c>
      <c r="C45" s="3" t="s">
        <v>2</v>
      </c>
      <c r="D45" s="3" t="s">
        <v>10</v>
      </c>
      <c r="E45" s="3">
        <v>38.270000000000003</v>
      </c>
      <c r="F45" s="3">
        <v>2.97</v>
      </c>
      <c r="G45" s="3">
        <v>48</v>
      </c>
      <c r="H45" s="3">
        <v>38.4</v>
      </c>
      <c r="I45" s="3">
        <v>2.94</v>
      </c>
      <c r="J45" s="3">
        <v>50</v>
      </c>
    </row>
    <row r="46" spans="1:10" x14ac:dyDescent="0.2">
      <c r="A46" s="3" t="s">
        <v>39</v>
      </c>
      <c r="B46" s="3">
        <v>2018</v>
      </c>
      <c r="C46" s="3" t="s">
        <v>3</v>
      </c>
      <c r="D46" s="3" t="s">
        <v>10</v>
      </c>
      <c r="E46" s="3">
        <v>40.549999999999997</v>
      </c>
      <c r="F46" s="3">
        <v>3.54</v>
      </c>
      <c r="G46" s="3">
        <v>48</v>
      </c>
      <c r="H46" s="3">
        <v>39.380000000000003</v>
      </c>
      <c r="I46" s="3">
        <v>3.1</v>
      </c>
      <c r="J46" s="3">
        <v>51</v>
      </c>
    </row>
    <row r="47" spans="1:10" x14ac:dyDescent="0.2">
      <c r="A47" s="3" t="s">
        <v>39</v>
      </c>
      <c r="B47" s="3">
        <v>2018</v>
      </c>
      <c r="C47" s="3" t="s">
        <v>2</v>
      </c>
      <c r="D47" s="3" t="s">
        <v>19</v>
      </c>
      <c r="E47" s="3">
        <v>52.78</v>
      </c>
      <c r="F47" s="3">
        <v>7.18</v>
      </c>
      <c r="G47" s="3">
        <v>48</v>
      </c>
      <c r="H47" s="3">
        <v>52.01</v>
      </c>
      <c r="I47" s="3">
        <v>8.0399999999999991</v>
      </c>
      <c r="J47" s="3">
        <v>50</v>
      </c>
    </row>
    <row r="48" spans="1:10" x14ac:dyDescent="0.2">
      <c r="A48" s="3" t="s">
        <v>39</v>
      </c>
      <c r="B48" s="3">
        <v>2018</v>
      </c>
      <c r="C48" s="3" t="s">
        <v>3</v>
      </c>
      <c r="D48" s="3" t="s">
        <v>19</v>
      </c>
      <c r="E48" s="3">
        <v>55.27</v>
      </c>
      <c r="F48" s="3">
        <v>6.86</v>
      </c>
      <c r="G48" s="3">
        <v>48</v>
      </c>
      <c r="H48" s="3">
        <v>50.6</v>
      </c>
      <c r="I48" s="3">
        <v>7.4</v>
      </c>
      <c r="J48" s="3">
        <v>51</v>
      </c>
    </row>
    <row r="49" spans="1:10" x14ac:dyDescent="0.2">
      <c r="A49" s="3" t="s">
        <v>37</v>
      </c>
      <c r="B49" s="3">
        <v>2020</v>
      </c>
      <c r="C49" s="3" t="s">
        <v>3</v>
      </c>
      <c r="D49" s="3" t="s">
        <v>8</v>
      </c>
      <c r="E49" s="3">
        <v>9.3000000000000007</v>
      </c>
      <c r="F49" s="3">
        <v>7.3</v>
      </c>
      <c r="G49" s="3">
        <v>69</v>
      </c>
      <c r="H49" s="2">
        <v>8.4</v>
      </c>
      <c r="I49" s="3">
        <v>5.8000000000000007</v>
      </c>
      <c r="J49" s="3">
        <v>96</v>
      </c>
    </row>
    <row r="50" spans="1:10" x14ac:dyDescent="0.2">
      <c r="A50" s="3" t="s">
        <v>37</v>
      </c>
      <c r="B50" s="3">
        <v>2020</v>
      </c>
      <c r="C50" s="3" t="s">
        <v>3</v>
      </c>
      <c r="D50" s="3" t="s">
        <v>22</v>
      </c>
      <c r="E50" s="2">
        <v>21.6</v>
      </c>
      <c r="F50" s="3">
        <v>6.5</v>
      </c>
      <c r="G50" s="3">
        <v>69</v>
      </c>
      <c r="H50" s="2">
        <v>20.8</v>
      </c>
      <c r="I50" s="3">
        <v>5.6000000000000005</v>
      </c>
      <c r="J50" s="3">
        <v>97</v>
      </c>
    </row>
    <row r="51" spans="1:10" x14ac:dyDescent="0.2">
      <c r="A51" s="3" t="s">
        <v>37</v>
      </c>
      <c r="B51" s="3">
        <v>2020</v>
      </c>
      <c r="C51" s="3" t="s">
        <v>3</v>
      </c>
      <c r="D51" s="3" t="s">
        <v>18</v>
      </c>
      <c r="E51" s="2">
        <v>41.3</v>
      </c>
      <c r="F51" s="3">
        <v>6.2</v>
      </c>
      <c r="G51" s="3">
        <v>69</v>
      </c>
      <c r="H51" s="2">
        <v>42.199999999999996</v>
      </c>
      <c r="I51" s="3">
        <v>4.3999999999999995</v>
      </c>
      <c r="J51" s="3">
        <v>97</v>
      </c>
    </row>
    <row r="52" spans="1:10" x14ac:dyDescent="0.2">
      <c r="A52" s="3" t="s">
        <v>37</v>
      </c>
      <c r="B52" s="3">
        <v>2020</v>
      </c>
      <c r="C52" s="3" t="s">
        <v>3</v>
      </c>
      <c r="D52" s="3" t="s">
        <v>9</v>
      </c>
      <c r="E52" s="2">
        <v>50.5</v>
      </c>
      <c r="F52" s="3">
        <v>10.8</v>
      </c>
      <c r="G52" s="3">
        <v>68</v>
      </c>
      <c r="H52" s="3">
        <v>48.3</v>
      </c>
      <c r="I52" s="3">
        <v>8.3000000000000007</v>
      </c>
      <c r="J52" s="3">
        <v>97</v>
      </c>
    </row>
    <row r="53" spans="1:10" x14ac:dyDescent="0.2">
      <c r="A53" s="3" t="s">
        <v>37</v>
      </c>
      <c r="B53" s="3">
        <v>2020</v>
      </c>
      <c r="C53" s="3" t="s">
        <v>3</v>
      </c>
      <c r="D53" s="3" t="s">
        <v>19</v>
      </c>
      <c r="E53" s="2">
        <v>51.4</v>
      </c>
      <c r="F53" s="3">
        <v>8.4</v>
      </c>
      <c r="G53" s="3">
        <v>67</v>
      </c>
      <c r="H53" s="2">
        <v>51.1</v>
      </c>
      <c r="I53" s="3">
        <v>9.3000000000000007</v>
      </c>
      <c r="J53" s="3">
        <v>95</v>
      </c>
    </row>
    <row r="54" spans="1:10" x14ac:dyDescent="0.2">
      <c r="A54" s="3" t="s">
        <v>37</v>
      </c>
      <c r="B54" s="3">
        <v>2020</v>
      </c>
      <c r="C54" s="3" t="s">
        <v>3</v>
      </c>
      <c r="D54" s="3" t="s">
        <v>12</v>
      </c>
      <c r="E54" s="2">
        <v>54</v>
      </c>
      <c r="F54" s="3">
        <v>8.5</v>
      </c>
      <c r="G54" s="3">
        <v>69</v>
      </c>
      <c r="H54" s="2">
        <v>56.999999999999993</v>
      </c>
      <c r="I54" s="3">
        <v>9.7000000000000011</v>
      </c>
      <c r="J54" s="3">
        <v>97</v>
      </c>
    </row>
    <row r="55" spans="1:10" x14ac:dyDescent="0.2">
      <c r="A55" s="3" t="s">
        <v>37</v>
      </c>
      <c r="B55" s="3">
        <v>2020</v>
      </c>
      <c r="C55" s="3" t="s">
        <v>3</v>
      </c>
      <c r="D55" s="3" t="s">
        <v>17</v>
      </c>
      <c r="E55" s="2">
        <v>57.099999999999994</v>
      </c>
      <c r="F55" s="3">
        <v>15</v>
      </c>
      <c r="G55" s="3">
        <v>69</v>
      </c>
      <c r="H55" s="2">
        <v>54.800000000000004</v>
      </c>
      <c r="I55" s="3">
        <v>14.7</v>
      </c>
      <c r="J55" s="3">
        <v>97</v>
      </c>
    </row>
    <row r="56" spans="1:10" x14ac:dyDescent="0.2">
      <c r="A56" s="3" t="s">
        <v>37</v>
      </c>
      <c r="B56" s="3">
        <v>2020</v>
      </c>
      <c r="C56" s="3" t="s">
        <v>3</v>
      </c>
      <c r="D56" s="3" t="s">
        <v>55</v>
      </c>
      <c r="E56" s="2">
        <v>63.5</v>
      </c>
      <c r="F56" s="3">
        <v>5.7</v>
      </c>
      <c r="G56" s="3">
        <v>69</v>
      </c>
      <c r="H56" s="2">
        <v>63.800000000000004</v>
      </c>
      <c r="I56" s="3">
        <v>5.8999999999999995</v>
      </c>
      <c r="J56" s="3">
        <v>97</v>
      </c>
    </row>
    <row r="57" spans="1:10" x14ac:dyDescent="0.2">
      <c r="A57" s="3" t="s">
        <v>37</v>
      </c>
      <c r="B57" s="3">
        <v>2020</v>
      </c>
      <c r="C57" s="3" t="s">
        <v>3</v>
      </c>
      <c r="D57" s="3" t="s">
        <v>4</v>
      </c>
      <c r="E57" s="2">
        <v>67.7</v>
      </c>
      <c r="F57" s="3">
        <v>11.1</v>
      </c>
      <c r="G57" s="3">
        <v>69</v>
      </c>
      <c r="H57" s="2">
        <v>66.7</v>
      </c>
      <c r="I57" s="3">
        <v>9.8000000000000007</v>
      </c>
      <c r="J57" s="3">
        <v>97</v>
      </c>
    </row>
    <row r="58" spans="1:10" x14ac:dyDescent="0.2">
      <c r="A58" s="3" t="s">
        <v>37</v>
      </c>
      <c r="B58" s="3">
        <v>2020</v>
      </c>
      <c r="C58" s="3" t="s">
        <v>3</v>
      </c>
      <c r="D58" s="3" t="s">
        <v>14</v>
      </c>
      <c r="E58" s="2">
        <v>88.8</v>
      </c>
      <c r="F58" s="3">
        <v>4.3</v>
      </c>
      <c r="G58" s="3">
        <v>69</v>
      </c>
      <c r="H58" s="2">
        <v>89.4</v>
      </c>
      <c r="I58" s="3">
        <v>3.6999999999999997</v>
      </c>
      <c r="J58" s="3">
        <v>97</v>
      </c>
    </row>
    <row r="59" spans="1:10" x14ac:dyDescent="0.2">
      <c r="A59" s="3" t="s">
        <v>44</v>
      </c>
      <c r="B59" s="3">
        <v>2009</v>
      </c>
      <c r="C59" s="3" t="s">
        <v>2</v>
      </c>
      <c r="D59" s="3" t="s">
        <v>4</v>
      </c>
      <c r="E59" s="3"/>
      <c r="F59" s="3"/>
      <c r="G59" s="3">
        <v>8</v>
      </c>
      <c r="H59" s="3"/>
      <c r="I59" s="3"/>
      <c r="J59" s="3">
        <v>6</v>
      </c>
    </row>
    <row r="60" spans="1:10" x14ac:dyDescent="0.2">
      <c r="A60" s="3" t="s">
        <v>44</v>
      </c>
      <c r="B60" s="3">
        <v>2009</v>
      </c>
      <c r="C60" s="3" t="s">
        <v>3</v>
      </c>
      <c r="D60" s="3" t="s">
        <v>4</v>
      </c>
      <c r="E60" s="3"/>
      <c r="F60" s="3"/>
      <c r="G60" s="3">
        <v>8</v>
      </c>
      <c r="H60" s="3"/>
      <c r="I60" s="3"/>
      <c r="J60" s="3">
        <v>6</v>
      </c>
    </row>
    <row r="61" spans="1:10" x14ac:dyDescent="0.2">
      <c r="A61" s="3" t="s">
        <v>45</v>
      </c>
      <c r="B61" s="3">
        <v>2009</v>
      </c>
      <c r="C61" s="3" t="s">
        <v>5</v>
      </c>
      <c r="D61" s="3" t="s">
        <v>17</v>
      </c>
      <c r="E61" s="3"/>
      <c r="F61" s="3"/>
      <c r="G61" s="3">
        <v>38</v>
      </c>
      <c r="H61" s="3"/>
      <c r="I61" s="3"/>
      <c r="J61" s="3">
        <v>78</v>
      </c>
    </row>
    <row r="62" spans="1:10" x14ac:dyDescent="0.2">
      <c r="A62" s="3" t="s">
        <v>45</v>
      </c>
      <c r="B62" s="3">
        <v>2009</v>
      </c>
      <c r="C62" s="3" t="s">
        <v>5</v>
      </c>
      <c r="D62" s="3" t="s">
        <v>4</v>
      </c>
      <c r="E62" s="3"/>
      <c r="F62" s="3"/>
      <c r="G62" s="3">
        <v>38</v>
      </c>
      <c r="H62" s="3"/>
      <c r="I62" s="3"/>
      <c r="J62" s="3">
        <v>78</v>
      </c>
    </row>
    <row r="63" spans="1:10" x14ac:dyDescent="0.2">
      <c r="A63" s="3" t="s">
        <v>45</v>
      </c>
      <c r="B63" s="3">
        <v>2009</v>
      </c>
      <c r="C63" s="3" t="s">
        <v>5</v>
      </c>
      <c r="D63" s="3" t="s">
        <v>16</v>
      </c>
      <c r="E63" s="3"/>
      <c r="F63" s="3"/>
      <c r="G63" s="3">
        <v>38</v>
      </c>
      <c r="H63" s="3"/>
      <c r="I63" s="3"/>
      <c r="J63" s="3">
        <v>78</v>
      </c>
    </row>
    <row r="64" spans="1:10" x14ac:dyDescent="0.2">
      <c r="A64" s="3" t="s">
        <v>45</v>
      </c>
      <c r="B64" s="3">
        <v>2009</v>
      </c>
      <c r="C64" s="3" t="s">
        <v>5</v>
      </c>
      <c r="D64" s="3" t="s">
        <v>7</v>
      </c>
      <c r="E64" s="3"/>
      <c r="F64" s="3"/>
      <c r="G64" s="3">
        <v>38</v>
      </c>
      <c r="H64" s="3"/>
      <c r="I64" s="3"/>
      <c r="J64" s="3">
        <v>78</v>
      </c>
    </row>
    <row r="65" spans="1:10" x14ac:dyDescent="0.2">
      <c r="A65" s="3" t="s">
        <v>45</v>
      </c>
      <c r="B65" s="3">
        <v>2009</v>
      </c>
      <c r="C65" s="3" t="s">
        <v>5</v>
      </c>
      <c r="D65" s="3" t="s">
        <v>9</v>
      </c>
      <c r="E65" s="3"/>
      <c r="F65" s="3"/>
      <c r="G65" s="3">
        <v>38</v>
      </c>
      <c r="H65" s="3"/>
      <c r="I65" s="3"/>
      <c r="J65" s="3">
        <v>78</v>
      </c>
    </row>
    <row r="66" spans="1:10" x14ac:dyDescent="0.2">
      <c r="A66" s="3" t="s">
        <v>45</v>
      </c>
      <c r="B66" s="3">
        <v>2009</v>
      </c>
      <c r="C66" s="3" t="s">
        <v>5</v>
      </c>
      <c r="D66" s="3" t="s">
        <v>8</v>
      </c>
      <c r="E66" s="3"/>
      <c r="F66" s="3"/>
      <c r="G66" s="3">
        <v>38</v>
      </c>
      <c r="H66" s="3"/>
      <c r="I66" s="3"/>
      <c r="J66" s="3">
        <v>78</v>
      </c>
    </row>
    <row r="67" spans="1:10" x14ac:dyDescent="0.2">
      <c r="A67" s="3" t="s">
        <v>45</v>
      </c>
      <c r="B67" s="3">
        <v>2009</v>
      </c>
      <c r="C67" s="3" t="s">
        <v>5</v>
      </c>
      <c r="D67" s="3" t="s">
        <v>10</v>
      </c>
      <c r="E67" s="3"/>
      <c r="F67" s="3"/>
      <c r="G67" s="3">
        <v>38</v>
      </c>
      <c r="H67" s="3"/>
      <c r="I67" s="3"/>
      <c r="J67" s="3">
        <v>78</v>
      </c>
    </row>
    <row r="68" spans="1:10" x14ac:dyDescent="0.2">
      <c r="A68" s="3" t="s">
        <v>48</v>
      </c>
      <c r="B68" s="3">
        <v>2010</v>
      </c>
      <c r="C68" s="3" t="s">
        <v>15</v>
      </c>
      <c r="D68" s="3" t="s">
        <v>14</v>
      </c>
      <c r="E68" s="3"/>
      <c r="F68" s="3"/>
      <c r="G68" s="3">
        <v>27</v>
      </c>
      <c r="H68" s="3"/>
      <c r="I68" s="3"/>
      <c r="J68" s="3">
        <v>28</v>
      </c>
    </row>
    <row r="69" spans="1:10" x14ac:dyDescent="0.2">
      <c r="A69" s="3" t="s">
        <v>48</v>
      </c>
      <c r="B69" s="3">
        <v>2010</v>
      </c>
      <c r="C69" s="3" t="s">
        <v>2</v>
      </c>
      <c r="D69" s="3" t="s">
        <v>14</v>
      </c>
      <c r="E69" s="3"/>
      <c r="F69" s="3"/>
      <c r="G69" s="3">
        <v>27</v>
      </c>
      <c r="H69" s="3"/>
      <c r="I69" s="3"/>
      <c r="J69" s="3">
        <v>28</v>
      </c>
    </row>
    <row r="70" spans="1:10" x14ac:dyDescent="0.2">
      <c r="A70" s="3" t="s">
        <v>47</v>
      </c>
      <c r="B70" s="3">
        <v>2010</v>
      </c>
      <c r="C70" s="3" t="s">
        <v>5</v>
      </c>
      <c r="D70" s="3" t="s">
        <v>13</v>
      </c>
      <c r="E70" s="3"/>
      <c r="F70" s="3"/>
      <c r="G70" s="3">
        <v>29</v>
      </c>
      <c r="H70" s="3"/>
      <c r="I70" s="3"/>
      <c r="J70" s="3">
        <v>42</v>
      </c>
    </row>
    <row r="71" spans="1:10" x14ac:dyDescent="0.2">
      <c r="A71" s="3" t="s">
        <v>47</v>
      </c>
      <c r="B71" s="3">
        <v>2010</v>
      </c>
      <c r="C71" s="3" t="s">
        <v>5</v>
      </c>
      <c r="D71" s="3" t="s">
        <v>17</v>
      </c>
      <c r="E71" s="3"/>
      <c r="F71" s="3"/>
      <c r="G71" s="3">
        <v>29</v>
      </c>
      <c r="H71" s="3"/>
      <c r="I71" s="3"/>
      <c r="J71" s="3">
        <v>42</v>
      </c>
    </row>
    <row r="72" spans="1:10" x14ac:dyDescent="0.2">
      <c r="A72" s="3" t="s">
        <v>47</v>
      </c>
      <c r="B72" s="3">
        <v>2010</v>
      </c>
      <c r="C72" s="3" t="s">
        <v>5</v>
      </c>
      <c r="D72" s="3" t="s">
        <v>4</v>
      </c>
      <c r="E72" s="3"/>
      <c r="F72" s="3"/>
      <c r="G72" s="3">
        <v>29</v>
      </c>
      <c r="H72" s="3"/>
      <c r="I72" s="3"/>
      <c r="J72" s="3">
        <v>42</v>
      </c>
    </row>
    <row r="73" spans="1:10" x14ac:dyDescent="0.2">
      <c r="A73" s="3" t="s">
        <v>47</v>
      </c>
      <c r="B73" s="3">
        <v>2010</v>
      </c>
      <c r="C73" s="3" t="s">
        <v>5</v>
      </c>
      <c r="D73" s="3" t="s">
        <v>6</v>
      </c>
      <c r="E73" s="3"/>
      <c r="F73" s="3"/>
      <c r="G73" s="3">
        <v>29</v>
      </c>
      <c r="H73" s="3"/>
      <c r="I73" s="3"/>
      <c r="J73" s="3">
        <v>42</v>
      </c>
    </row>
    <row r="74" spans="1:10" x14ac:dyDescent="0.2">
      <c r="A74" s="3" t="s">
        <v>47</v>
      </c>
      <c r="B74" s="3">
        <v>2010</v>
      </c>
      <c r="C74" s="3" t="s">
        <v>5</v>
      </c>
      <c r="D74" s="3" t="s">
        <v>7</v>
      </c>
      <c r="E74" s="3"/>
      <c r="F74" s="3"/>
      <c r="G74" s="3">
        <v>29</v>
      </c>
      <c r="H74" s="3"/>
      <c r="I74" s="3"/>
      <c r="J74" s="3">
        <v>42</v>
      </c>
    </row>
    <row r="75" spans="1:10" x14ac:dyDescent="0.2">
      <c r="A75" s="3" t="s">
        <v>47</v>
      </c>
      <c r="B75" s="3">
        <v>2010</v>
      </c>
      <c r="C75" s="3" t="s">
        <v>5</v>
      </c>
      <c r="D75" s="3" t="s">
        <v>9</v>
      </c>
      <c r="E75" s="3"/>
      <c r="F75" s="3"/>
      <c r="G75" s="3">
        <v>29</v>
      </c>
      <c r="H75" s="3"/>
      <c r="I75" s="3"/>
      <c r="J75" s="3">
        <v>42</v>
      </c>
    </row>
    <row r="76" spans="1:10" x14ac:dyDescent="0.2">
      <c r="A76" s="3" t="s">
        <v>47</v>
      </c>
      <c r="B76" s="3">
        <v>2010</v>
      </c>
      <c r="C76" s="3" t="s">
        <v>5</v>
      </c>
      <c r="D76" s="3" t="s">
        <v>10</v>
      </c>
      <c r="E76" s="3"/>
      <c r="F76" s="3"/>
      <c r="G76" s="3">
        <v>29</v>
      </c>
      <c r="H76" s="3"/>
      <c r="I76" s="3"/>
      <c r="J76" s="3">
        <v>42</v>
      </c>
    </row>
    <row r="77" spans="1:10" x14ac:dyDescent="0.2">
      <c r="A77" s="3" t="s">
        <v>48</v>
      </c>
      <c r="B77" s="3">
        <v>2010</v>
      </c>
      <c r="C77" s="3" t="s">
        <v>15</v>
      </c>
      <c r="D77" s="3" t="s">
        <v>17</v>
      </c>
      <c r="E77" s="3"/>
      <c r="F77" s="3"/>
      <c r="G77" s="3">
        <v>56</v>
      </c>
      <c r="H77" s="3"/>
      <c r="I77" s="3"/>
      <c r="J77" s="3">
        <v>45</v>
      </c>
    </row>
    <row r="78" spans="1:10" x14ac:dyDescent="0.2">
      <c r="A78" s="3" t="s">
        <v>48</v>
      </c>
      <c r="B78" s="3">
        <v>2010</v>
      </c>
      <c r="C78" s="3" t="s">
        <v>2</v>
      </c>
      <c r="D78" s="3" t="s">
        <v>17</v>
      </c>
      <c r="E78" s="3"/>
      <c r="F78" s="3"/>
      <c r="G78" s="3">
        <v>56</v>
      </c>
      <c r="H78" s="3"/>
      <c r="I78" s="3"/>
      <c r="J78" s="3">
        <v>45</v>
      </c>
    </row>
    <row r="79" spans="1:10" x14ac:dyDescent="0.2">
      <c r="A79" s="3" t="s">
        <v>48</v>
      </c>
      <c r="B79" s="3">
        <v>2010</v>
      </c>
      <c r="C79" s="3" t="s">
        <v>3</v>
      </c>
      <c r="D79" s="3" t="s">
        <v>17</v>
      </c>
      <c r="E79" s="3"/>
      <c r="F79" s="3"/>
      <c r="G79" s="3">
        <v>56</v>
      </c>
      <c r="H79" s="3"/>
      <c r="I79" s="3"/>
      <c r="J79" s="3">
        <v>45</v>
      </c>
    </row>
    <row r="80" spans="1:10" x14ac:dyDescent="0.2">
      <c r="A80" s="3" t="s">
        <v>48</v>
      </c>
      <c r="B80" s="3">
        <v>2010</v>
      </c>
      <c r="C80" s="3" t="s">
        <v>3</v>
      </c>
      <c r="D80" s="3" t="s">
        <v>14</v>
      </c>
      <c r="E80" s="3"/>
      <c r="F80" s="3"/>
      <c r="G80" s="3">
        <v>27</v>
      </c>
      <c r="H80" s="3"/>
      <c r="I80" s="3"/>
      <c r="J80" s="3">
        <v>28</v>
      </c>
    </row>
    <row r="81" spans="1:10" x14ac:dyDescent="0.2">
      <c r="A81" s="3" t="s">
        <v>49</v>
      </c>
      <c r="B81" s="3">
        <v>2011</v>
      </c>
      <c r="C81" s="3" t="s">
        <v>2</v>
      </c>
      <c r="D81" s="3" t="s">
        <v>4</v>
      </c>
      <c r="E81" s="3"/>
      <c r="F81" s="3"/>
      <c r="G81" s="3">
        <v>60</v>
      </c>
      <c r="H81" s="3"/>
      <c r="I81" s="3"/>
      <c r="J81" s="3">
        <v>101</v>
      </c>
    </row>
    <row r="82" spans="1:10" x14ac:dyDescent="0.2">
      <c r="A82" s="3" t="s">
        <v>49</v>
      </c>
      <c r="B82" s="3">
        <v>2011</v>
      </c>
      <c r="C82" s="3" t="s">
        <v>2</v>
      </c>
      <c r="D82" s="3" t="s">
        <v>6</v>
      </c>
      <c r="E82" s="3"/>
      <c r="F82" s="3"/>
      <c r="G82" s="3">
        <v>60</v>
      </c>
      <c r="H82" s="3"/>
      <c r="I82" s="3"/>
      <c r="J82" s="3">
        <v>101</v>
      </c>
    </row>
    <row r="83" spans="1:10" x14ac:dyDescent="0.2">
      <c r="A83" s="3" t="s">
        <v>49</v>
      </c>
      <c r="B83" s="3">
        <v>2011</v>
      </c>
      <c r="C83" s="3" t="s">
        <v>2</v>
      </c>
      <c r="D83" s="3" t="s">
        <v>7</v>
      </c>
      <c r="E83" s="3"/>
      <c r="F83" s="3"/>
      <c r="G83" s="3">
        <v>60</v>
      </c>
      <c r="H83" s="3"/>
      <c r="I83" s="3"/>
      <c r="J83" s="3">
        <v>101</v>
      </c>
    </row>
    <row r="84" spans="1:10" x14ac:dyDescent="0.2">
      <c r="A84" s="3" t="s">
        <v>49</v>
      </c>
      <c r="B84" s="3">
        <v>2011</v>
      </c>
      <c r="C84" s="3" t="s">
        <v>2</v>
      </c>
      <c r="D84" s="3" t="s">
        <v>8</v>
      </c>
      <c r="E84" s="3"/>
      <c r="F84" s="3"/>
      <c r="G84" s="3">
        <v>60</v>
      </c>
      <c r="H84" s="3"/>
      <c r="I84" s="3"/>
      <c r="J84" s="3">
        <v>101</v>
      </c>
    </row>
    <row r="85" spans="1:10" x14ac:dyDescent="0.2">
      <c r="A85" s="3" t="s">
        <v>49</v>
      </c>
      <c r="B85" s="3">
        <v>2011</v>
      </c>
      <c r="C85" s="3" t="s">
        <v>2</v>
      </c>
      <c r="D85" s="3" t="s">
        <v>10</v>
      </c>
      <c r="E85" s="3"/>
      <c r="F85" s="3"/>
      <c r="G85" s="3">
        <v>60</v>
      </c>
      <c r="H85" s="3"/>
      <c r="I85" s="3"/>
      <c r="J85" s="3">
        <v>101</v>
      </c>
    </row>
    <row r="86" spans="1:10" x14ac:dyDescent="0.2">
      <c r="A86" s="3" t="s">
        <v>58</v>
      </c>
      <c r="B86" s="3">
        <v>2011</v>
      </c>
      <c r="C86" s="3" t="s">
        <v>2</v>
      </c>
      <c r="D86" s="3" t="s">
        <v>17</v>
      </c>
      <c r="E86" s="3"/>
      <c r="F86" s="3"/>
      <c r="G86" s="3">
        <v>60</v>
      </c>
      <c r="H86" s="3"/>
      <c r="I86" s="3"/>
      <c r="J86" s="3">
        <v>58</v>
      </c>
    </row>
    <row r="87" spans="1:10" x14ac:dyDescent="0.2">
      <c r="A87" s="3" t="s">
        <v>58</v>
      </c>
      <c r="B87" s="3">
        <v>2011</v>
      </c>
      <c r="C87" s="3" t="s">
        <v>2</v>
      </c>
      <c r="D87" s="3" t="s">
        <v>7</v>
      </c>
      <c r="E87" s="3"/>
      <c r="F87" s="3"/>
      <c r="G87" s="3">
        <v>60</v>
      </c>
      <c r="H87" s="3"/>
      <c r="I87" s="3"/>
      <c r="J87" s="3">
        <v>58</v>
      </c>
    </row>
    <row r="88" spans="1:10" x14ac:dyDescent="0.2">
      <c r="A88" s="3" t="s">
        <v>58</v>
      </c>
      <c r="B88" s="3">
        <v>2011</v>
      </c>
      <c r="C88" s="3" t="s">
        <v>2</v>
      </c>
      <c r="D88" s="3" t="s">
        <v>4</v>
      </c>
      <c r="E88" s="3"/>
      <c r="F88" s="3"/>
      <c r="G88" s="3">
        <v>60</v>
      </c>
      <c r="H88" s="3"/>
      <c r="I88" s="3"/>
      <c r="J88" s="3">
        <v>58</v>
      </c>
    </row>
    <row r="89" spans="1:10" x14ac:dyDescent="0.2">
      <c r="A89" s="3" t="s">
        <v>49</v>
      </c>
      <c r="B89" s="3">
        <v>2011</v>
      </c>
      <c r="C89" s="3" t="s">
        <v>5</v>
      </c>
      <c r="D89" s="3" t="s">
        <v>7</v>
      </c>
      <c r="E89" s="3"/>
      <c r="F89" s="3"/>
      <c r="G89" s="3"/>
      <c r="H89" s="3"/>
      <c r="I89" s="3"/>
      <c r="J89" s="3"/>
    </row>
    <row r="90" spans="1:10" x14ac:dyDescent="0.2">
      <c r="A90" s="3" t="s">
        <v>35</v>
      </c>
      <c r="B90" s="3">
        <v>2013</v>
      </c>
      <c r="C90" s="3" t="s">
        <v>3</v>
      </c>
      <c r="D90" s="3" t="s">
        <v>12</v>
      </c>
      <c r="E90" s="3"/>
      <c r="F90" s="3"/>
      <c r="G90" s="3">
        <v>35</v>
      </c>
      <c r="H90" s="3"/>
      <c r="I90" s="3"/>
      <c r="J90" s="3">
        <v>35</v>
      </c>
    </row>
    <row r="91" spans="1:10" x14ac:dyDescent="0.2">
      <c r="A91" s="3" t="s">
        <v>50</v>
      </c>
      <c r="B91" s="3">
        <v>2013</v>
      </c>
      <c r="C91" s="3" t="s">
        <v>3</v>
      </c>
      <c r="D91" s="3" t="s">
        <v>11</v>
      </c>
      <c r="E91" s="3"/>
      <c r="F91" s="3"/>
      <c r="G91" s="3">
        <v>121</v>
      </c>
      <c r="H91" s="3"/>
      <c r="I91" s="3"/>
      <c r="J91" s="3">
        <v>73</v>
      </c>
    </row>
    <row r="92" spans="1:10" x14ac:dyDescent="0.2">
      <c r="A92" s="3" t="s">
        <v>50</v>
      </c>
      <c r="B92" s="3">
        <v>2013</v>
      </c>
      <c r="C92" s="3" t="s">
        <v>3</v>
      </c>
      <c r="D92" s="3" t="s">
        <v>4</v>
      </c>
      <c r="E92" s="3"/>
      <c r="F92" s="3"/>
      <c r="G92" s="3">
        <v>121</v>
      </c>
      <c r="H92" s="3"/>
      <c r="I92" s="3"/>
      <c r="J92" s="3">
        <v>73</v>
      </c>
    </row>
    <row r="93" spans="1:10" x14ac:dyDescent="0.2">
      <c r="A93" s="3" t="s">
        <v>50</v>
      </c>
      <c r="B93" s="3">
        <v>2013</v>
      </c>
      <c r="C93" s="3" t="s">
        <v>3</v>
      </c>
      <c r="D93" s="3" t="s">
        <v>9</v>
      </c>
      <c r="E93" s="3"/>
      <c r="F93" s="3"/>
      <c r="G93" s="3">
        <v>121</v>
      </c>
      <c r="H93" s="3"/>
      <c r="I93" s="3"/>
      <c r="J93" s="3">
        <v>73</v>
      </c>
    </row>
    <row r="94" spans="1:10" x14ac:dyDescent="0.2">
      <c r="A94" s="3" t="s">
        <v>51</v>
      </c>
      <c r="B94" s="3">
        <v>2015</v>
      </c>
      <c r="C94" s="3" t="s">
        <v>3</v>
      </c>
      <c r="D94" s="3" t="s">
        <v>11</v>
      </c>
      <c r="E94" s="3"/>
      <c r="F94" s="3"/>
      <c r="G94" s="3">
        <v>49</v>
      </c>
      <c r="H94" s="3"/>
      <c r="I94" s="3"/>
      <c r="J94" s="3">
        <v>88</v>
      </c>
    </row>
    <row r="95" spans="1:10" x14ac:dyDescent="0.2">
      <c r="A95" s="3" t="s">
        <v>59</v>
      </c>
      <c r="B95" s="3">
        <v>2015</v>
      </c>
      <c r="C95" s="3" t="s">
        <v>60</v>
      </c>
      <c r="D95" s="3" t="s">
        <v>17</v>
      </c>
      <c r="E95" s="3"/>
      <c r="F95" s="3"/>
      <c r="G95" s="3">
        <v>348</v>
      </c>
      <c r="H95" s="3"/>
      <c r="I95" s="3"/>
      <c r="J95" s="3">
        <v>68</v>
      </c>
    </row>
    <row r="96" spans="1:10" x14ac:dyDescent="0.2">
      <c r="A96" s="3" t="s">
        <v>53</v>
      </c>
      <c r="B96" s="3">
        <v>2016</v>
      </c>
      <c r="C96" s="3" t="s">
        <v>2</v>
      </c>
      <c r="D96" s="3" t="s">
        <v>8</v>
      </c>
      <c r="E96" s="3"/>
      <c r="F96" s="3"/>
      <c r="G96" s="3">
        <v>56</v>
      </c>
      <c r="H96" s="3"/>
      <c r="I96" s="3"/>
      <c r="J96" s="3">
        <f>66+56</f>
        <v>122</v>
      </c>
    </row>
    <row r="97" spans="1:10" x14ac:dyDescent="0.2">
      <c r="A97" s="3" t="s">
        <v>53</v>
      </c>
      <c r="B97" s="3">
        <v>2016</v>
      </c>
      <c r="C97" s="3" t="s">
        <v>2</v>
      </c>
      <c r="D97" s="3" t="s">
        <v>4</v>
      </c>
      <c r="E97" s="3"/>
      <c r="F97" s="3"/>
      <c r="G97" s="3">
        <v>57</v>
      </c>
      <c r="H97" s="3"/>
      <c r="I97" s="3"/>
      <c r="J97" s="3">
        <f>64+57</f>
        <v>121</v>
      </c>
    </row>
    <row r="98" spans="1:10" x14ac:dyDescent="0.2">
      <c r="A98" s="3" t="s">
        <v>53</v>
      </c>
      <c r="B98" s="3">
        <v>2016</v>
      </c>
      <c r="C98" s="3" t="s">
        <v>3</v>
      </c>
      <c r="D98" s="3" t="s">
        <v>4</v>
      </c>
      <c r="E98" s="3"/>
      <c r="F98" s="3"/>
      <c r="G98" s="3">
        <v>66</v>
      </c>
      <c r="H98" s="3"/>
      <c r="I98" s="3"/>
      <c r="J98" s="3">
        <f>66+66</f>
        <v>132</v>
      </c>
    </row>
    <row r="99" spans="1:10" x14ac:dyDescent="0.2">
      <c r="A99" s="3" t="s">
        <v>53</v>
      </c>
      <c r="B99" s="3">
        <v>2016</v>
      </c>
      <c r="C99" s="3" t="s">
        <v>3</v>
      </c>
      <c r="D99" s="3" t="s">
        <v>8</v>
      </c>
      <c r="E99" s="3"/>
      <c r="F99" s="3"/>
      <c r="G99" s="3">
        <v>66</v>
      </c>
      <c r="H99" s="3"/>
      <c r="I99" s="3"/>
      <c r="J99" s="3">
        <f>67+66</f>
        <v>133</v>
      </c>
    </row>
    <row r="100" spans="1:10" x14ac:dyDescent="0.2">
      <c r="A100" s="3" t="s">
        <v>56</v>
      </c>
      <c r="B100" s="3">
        <v>2017</v>
      </c>
      <c r="C100" s="3" t="s">
        <v>3</v>
      </c>
      <c r="D100" s="3" t="s">
        <v>12</v>
      </c>
      <c r="E100" s="3"/>
      <c r="F100" s="3"/>
      <c r="G100" s="3">
        <v>28</v>
      </c>
      <c r="H100" s="3"/>
      <c r="I100" s="3"/>
      <c r="J100" s="3">
        <v>16</v>
      </c>
    </row>
    <row r="101" spans="1:10" x14ac:dyDescent="0.2">
      <c r="A101" s="3" t="s">
        <v>56</v>
      </c>
      <c r="B101" s="3">
        <v>2017</v>
      </c>
      <c r="C101" s="3" t="s">
        <v>3</v>
      </c>
      <c r="D101" s="3" t="s">
        <v>16</v>
      </c>
      <c r="E101" s="3"/>
      <c r="F101" s="3"/>
      <c r="G101" s="3">
        <v>28</v>
      </c>
      <c r="H101" s="3"/>
      <c r="I101" s="3"/>
      <c r="J101" s="3">
        <v>16</v>
      </c>
    </row>
    <row r="102" spans="1:10" x14ac:dyDescent="0.2">
      <c r="A102" s="3" t="s">
        <v>57</v>
      </c>
      <c r="B102" s="3">
        <v>2018</v>
      </c>
      <c r="C102" s="3" t="s">
        <v>3</v>
      </c>
      <c r="D102" s="3" t="s">
        <v>4</v>
      </c>
      <c r="E102" s="3"/>
      <c r="F102" s="3"/>
      <c r="G102" s="3">
        <v>5</v>
      </c>
      <c r="H102" s="3"/>
      <c r="I102" s="3"/>
      <c r="J102" s="3">
        <v>6</v>
      </c>
    </row>
    <row r="103" spans="1:10" x14ac:dyDescent="0.2">
      <c r="A103" s="3" t="s">
        <v>57</v>
      </c>
      <c r="B103" s="3">
        <v>2018</v>
      </c>
      <c r="C103" s="3" t="s">
        <v>3</v>
      </c>
      <c r="D103" s="3" t="s">
        <v>17</v>
      </c>
      <c r="E103" s="3"/>
      <c r="F103" s="3"/>
      <c r="G103" s="3">
        <v>5</v>
      </c>
      <c r="H103" s="3"/>
      <c r="I103" s="3"/>
      <c r="J103" s="3">
        <v>6</v>
      </c>
    </row>
    <row r="104" spans="1:10" x14ac:dyDescent="0.2">
      <c r="A104" s="3" t="s">
        <v>61</v>
      </c>
      <c r="B104" s="3">
        <v>2018</v>
      </c>
      <c r="C104" s="3" t="s">
        <v>3</v>
      </c>
      <c r="D104" s="3" t="s">
        <v>17</v>
      </c>
      <c r="E104" s="3"/>
      <c r="F104" s="3"/>
      <c r="G104" s="3">
        <v>60</v>
      </c>
      <c r="H104" s="3"/>
      <c r="I104" s="3"/>
      <c r="J104" s="3">
        <v>62</v>
      </c>
    </row>
    <row r="105" spans="1:10" x14ac:dyDescent="0.2">
      <c r="A105" s="3" t="s">
        <v>62</v>
      </c>
      <c r="B105" s="3">
        <v>2019</v>
      </c>
      <c r="C105" s="3" t="s">
        <v>3</v>
      </c>
      <c r="D105" s="3" t="s">
        <v>4</v>
      </c>
      <c r="E105" s="1"/>
      <c r="F105" s="1"/>
      <c r="G105" s="3">
        <v>19</v>
      </c>
      <c r="H105" s="3"/>
      <c r="I105" s="3"/>
      <c r="J105" s="3">
        <v>20</v>
      </c>
    </row>
    <row r="106" spans="1:10" x14ac:dyDescent="0.2">
      <c r="A106" s="3" t="s">
        <v>65</v>
      </c>
      <c r="B106" s="3">
        <v>2020</v>
      </c>
      <c r="C106" s="3" t="s">
        <v>3</v>
      </c>
      <c r="D106" s="3" t="s">
        <v>10</v>
      </c>
      <c r="E106" s="1"/>
      <c r="F106" s="1"/>
      <c r="G106" s="1">
        <v>35</v>
      </c>
      <c r="H106" s="1"/>
      <c r="I106" s="1"/>
      <c r="J106" s="1">
        <v>60</v>
      </c>
    </row>
    <row r="107" spans="1:10" x14ac:dyDescent="0.2">
      <c r="A107" s="3" t="s">
        <v>64</v>
      </c>
      <c r="B107" s="3">
        <v>2021</v>
      </c>
      <c r="C107" s="3" t="s">
        <v>2</v>
      </c>
      <c r="D107" s="3" t="s">
        <v>20</v>
      </c>
      <c r="E107" s="1"/>
      <c r="F107" s="1"/>
      <c r="G107" s="1">
        <v>30</v>
      </c>
      <c r="H107" s="1"/>
      <c r="I107" s="1"/>
      <c r="J107" s="1">
        <v>30</v>
      </c>
    </row>
    <row r="108" spans="1:10" x14ac:dyDescent="0.2">
      <c r="A108" s="3" t="s">
        <v>64</v>
      </c>
      <c r="B108" s="3">
        <v>2021</v>
      </c>
      <c r="C108" s="3" t="s">
        <v>2</v>
      </c>
      <c r="D108" s="3" t="s">
        <v>21</v>
      </c>
      <c r="E108" s="1"/>
      <c r="F108" s="1"/>
      <c r="G108" s="1">
        <v>30</v>
      </c>
      <c r="H108" s="1"/>
      <c r="I108" s="1"/>
      <c r="J108" s="1">
        <v>30</v>
      </c>
    </row>
    <row r="109" spans="1:10" x14ac:dyDescent="0.2">
      <c r="A109" s="3" t="s">
        <v>64</v>
      </c>
      <c r="B109" s="3">
        <v>2021</v>
      </c>
      <c r="C109" s="3" t="s">
        <v>3</v>
      </c>
      <c r="D109" s="3" t="s">
        <v>20</v>
      </c>
      <c r="E109" s="1"/>
      <c r="F109" s="1"/>
      <c r="G109" s="1">
        <v>30</v>
      </c>
      <c r="H109" s="1"/>
      <c r="I109" s="1"/>
      <c r="J109" s="1">
        <v>30</v>
      </c>
    </row>
    <row r="110" spans="1:10" x14ac:dyDescent="0.2">
      <c r="A110" s="3" t="s">
        <v>64</v>
      </c>
      <c r="B110" s="3">
        <v>2021</v>
      </c>
      <c r="C110" s="3" t="s">
        <v>3</v>
      </c>
      <c r="D110" s="3" t="s">
        <v>21</v>
      </c>
      <c r="E110" s="1"/>
      <c r="F110" s="1"/>
      <c r="G110" s="1">
        <v>30</v>
      </c>
      <c r="H110" s="1"/>
      <c r="I110" s="1"/>
      <c r="J110" s="1">
        <v>30</v>
      </c>
    </row>
  </sheetData>
  <sortState xmlns:xlrd2="http://schemas.microsoft.com/office/spreadsheetml/2017/richdata2" ref="A2:J58">
    <sortCondition ref="B2:B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0A8B-1123-6849-8DB4-9641AED81D9B}">
  <dimension ref="A1:J29"/>
  <sheetViews>
    <sheetView workbookViewId="0">
      <selection activeCell="F32" sqref="A1:XFD1048576"/>
    </sheetView>
  </sheetViews>
  <sheetFormatPr baseColWidth="10" defaultRowHeight="16" x14ac:dyDescent="0.2"/>
  <cols>
    <col min="1" max="16384" width="10.83203125" style="3"/>
  </cols>
  <sheetData>
    <row r="1" spans="1:10" x14ac:dyDescent="0.2">
      <c r="A1" s="3" t="s">
        <v>32</v>
      </c>
      <c r="B1" s="3" t="s">
        <v>68</v>
      </c>
      <c r="C1" s="3" t="s">
        <v>0</v>
      </c>
      <c r="D1" s="3" t="s">
        <v>1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spans="1:10" x14ac:dyDescent="0.2">
      <c r="A2" s="3" t="s">
        <v>40</v>
      </c>
      <c r="B2" s="3">
        <v>2009</v>
      </c>
      <c r="C2" s="3" t="s">
        <v>25</v>
      </c>
      <c r="D2" s="3" t="s">
        <v>9</v>
      </c>
      <c r="E2" s="3">
        <v>46.7</v>
      </c>
      <c r="F2" s="3">
        <v>3.1190000000000002</v>
      </c>
      <c r="G2" s="3">
        <v>29</v>
      </c>
      <c r="H2" s="3">
        <v>47.7</v>
      </c>
      <c r="I2" s="3">
        <v>2.1019999999999999</v>
      </c>
      <c r="J2" s="3">
        <v>19</v>
      </c>
    </row>
    <row r="3" spans="1:10" x14ac:dyDescent="0.2">
      <c r="A3" s="3" t="s">
        <v>40</v>
      </c>
      <c r="B3" s="3">
        <v>2009</v>
      </c>
      <c r="C3" s="3" t="s">
        <v>25</v>
      </c>
      <c r="D3" s="3" t="s">
        <v>7</v>
      </c>
      <c r="E3" s="3">
        <v>48.6</v>
      </c>
      <c r="F3" s="3">
        <v>2.9449999999999998</v>
      </c>
      <c r="G3" s="3">
        <v>29</v>
      </c>
      <c r="H3" s="3">
        <v>49.3</v>
      </c>
      <c r="I3" s="3">
        <v>3.9750000000000001</v>
      </c>
      <c r="J3" s="3">
        <v>19</v>
      </c>
    </row>
    <row r="4" spans="1:10" x14ac:dyDescent="0.2">
      <c r="A4" s="3" t="s">
        <v>40</v>
      </c>
      <c r="B4" s="3">
        <v>2009</v>
      </c>
      <c r="C4" s="3" t="s">
        <v>25</v>
      </c>
      <c r="D4" s="3" t="s">
        <v>17</v>
      </c>
      <c r="E4" s="3">
        <v>51.2</v>
      </c>
      <c r="F4" s="3">
        <v>4.2560000000000002</v>
      </c>
      <c r="G4" s="3">
        <v>29</v>
      </c>
      <c r="H4" s="3">
        <v>50</v>
      </c>
      <c r="I4" s="3">
        <v>3.3929999999999998</v>
      </c>
      <c r="J4" s="3">
        <v>19</v>
      </c>
    </row>
    <row r="5" spans="1:10" x14ac:dyDescent="0.2">
      <c r="A5" s="3" t="s">
        <v>40</v>
      </c>
      <c r="B5" s="3">
        <v>2009</v>
      </c>
      <c r="C5" s="3" t="s">
        <v>25</v>
      </c>
      <c r="D5" s="3" t="s">
        <v>4</v>
      </c>
      <c r="E5" s="3">
        <v>46.8</v>
      </c>
      <c r="F5" s="3">
        <v>6.03</v>
      </c>
      <c r="G5" s="3">
        <v>29</v>
      </c>
      <c r="H5" s="3">
        <v>45.4</v>
      </c>
      <c r="I5" s="3">
        <v>9.7230000000000008</v>
      </c>
      <c r="J5" s="3">
        <v>19</v>
      </c>
    </row>
    <row r="6" spans="1:10" x14ac:dyDescent="0.2">
      <c r="A6" s="3" t="s">
        <v>41</v>
      </c>
      <c r="B6" s="3">
        <v>2012</v>
      </c>
      <c r="C6" s="3" t="s">
        <v>24</v>
      </c>
      <c r="D6" s="3" t="s">
        <v>18</v>
      </c>
      <c r="E6" s="3">
        <v>48.32</v>
      </c>
      <c r="F6" s="3">
        <v>3.52</v>
      </c>
      <c r="G6" s="3">
        <v>26</v>
      </c>
      <c r="H6" s="3">
        <v>50.04</v>
      </c>
      <c r="I6" s="3">
        <v>4.05</v>
      </c>
      <c r="J6" s="3">
        <v>53</v>
      </c>
    </row>
    <row r="7" spans="1:10" x14ac:dyDescent="0.2">
      <c r="A7" s="3" t="s">
        <v>41</v>
      </c>
      <c r="B7" s="3">
        <v>2012</v>
      </c>
      <c r="C7" s="3" t="s">
        <v>24</v>
      </c>
      <c r="D7" s="3" t="s">
        <v>4</v>
      </c>
      <c r="E7" s="3">
        <v>47.53</v>
      </c>
      <c r="F7" s="3">
        <v>3.86</v>
      </c>
      <c r="G7" s="3">
        <v>27</v>
      </c>
      <c r="H7" s="3">
        <v>47.61</v>
      </c>
      <c r="I7" s="3">
        <v>3.13</v>
      </c>
      <c r="J7" s="3">
        <v>52</v>
      </c>
    </row>
    <row r="8" spans="1:10" x14ac:dyDescent="0.2">
      <c r="A8" s="3" t="s">
        <v>41</v>
      </c>
      <c r="B8" s="3">
        <v>2012</v>
      </c>
      <c r="C8" s="3" t="s">
        <v>24</v>
      </c>
      <c r="D8" s="3" t="s">
        <v>19</v>
      </c>
      <c r="E8" s="3">
        <v>41.7</v>
      </c>
      <c r="F8" s="3">
        <v>3.44</v>
      </c>
      <c r="G8" s="3">
        <v>27</v>
      </c>
      <c r="H8" s="3">
        <v>42.16</v>
      </c>
      <c r="I8" s="3">
        <v>2.54</v>
      </c>
      <c r="J8" s="3">
        <v>53</v>
      </c>
    </row>
    <row r="9" spans="1:10" x14ac:dyDescent="0.2">
      <c r="A9" s="3" t="s">
        <v>41</v>
      </c>
      <c r="B9" s="3">
        <v>2012</v>
      </c>
      <c r="C9" s="3" t="s">
        <v>24</v>
      </c>
      <c r="D9" s="3" t="s">
        <v>17</v>
      </c>
      <c r="E9" s="3">
        <v>35.15</v>
      </c>
      <c r="F9" s="3">
        <v>5.96</v>
      </c>
      <c r="G9" s="3">
        <v>27</v>
      </c>
      <c r="H9" s="3">
        <v>38.07</v>
      </c>
      <c r="I9" s="3">
        <v>4.8899999999999997</v>
      </c>
      <c r="J9" s="3">
        <v>52</v>
      </c>
    </row>
    <row r="10" spans="1:10" x14ac:dyDescent="0.2">
      <c r="A10" s="3" t="s">
        <v>41</v>
      </c>
      <c r="B10" s="3">
        <v>2012</v>
      </c>
      <c r="C10" s="3" t="s">
        <v>24</v>
      </c>
      <c r="D10" s="3" t="s">
        <v>14</v>
      </c>
      <c r="E10" s="3">
        <v>72.13</v>
      </c>
      <c r="F10" s="3">
        <v>10.48</v>
      </c>
      <c r="G10" s="3">
        <v>27</v>
      </c>
      <c r="H10" s="3">
        <v>69.260000000000005</v>
      </c>
      <c r="I10" s="3">
        <v>7.09</v>
      </c>
      <c r="J10" s="3">
        <v>52</v>
      </c>
    </row>
    <row r="11" spans="1:10" x14ac:dyDescent="0.2">
      <c r="A11" s="3" t="s">
        <v>41</v>
      </c>
      <c r="B11" s="3">
        <v>2012</v>
      </c>
      <c r="C11" s="3" t="s">
        <v>25</v>
      </c>
      <c r="D11" s="3" t="s">
        <v>18</v>
      </c>
      <c r="E11" s="3">
        <v>35.03</v>
      </c>
      <c r="F11" s="3">
        <v>4.17</v>
      </c>
      <c r="G11" s="3">
        <v>27</v>
      </c>
      <c r="H11" s="3">
        <v>36.520000000000003</v>
      </c>
      <c r="I11" s="3">
        <v>5.44</v>
      </c>
      <c r="J11" s="3">
        <v>65</v>
      </c>
    </row>
    <row r="12" spans="1:10" x14ac:dyDescent="0.2">
      <c r="A12" s="3" t="s">
        <v>41</v>
      </c>
      <c r="B12" s="3">
        <v>2012</v>
      </c>
      <c r="C12" s="3" t="s">
        <v>25</v>
      </c>
      <c r="D12" s="3" t="s">
        <v>17</v>
      </c>
      <c r="E12" s="3">
        <v>37.479999999999997</v>
      </c>
      <c r="F12" s="3">
        <v>7.15</v>
      </c>
      <c r="G12" s="3">
        <v>28</v>
      </c>
      <c r="H12" s="3">
        <v>38.369999999999997</v>
      </c>
      <c r="I12" s="3">
        <v>8.73</v>
      </c>
      <c r="J12" s="3">
        <v>65</v>
      </c>
    </row>
    <row r="13" spans="1:10" x14ac:dyDescent="0.2">
      <c r="A13" s="3" t="s">
        <v>41</v>
      </c>
      <c r="B13" s="3">
        <v>2012</v>
      </c>
      <c r="C13" s="3" t="s">
        <v>25</v>
      </c>
      <c r="D13" s="3" t="s">
        <v>4</v>
      </c>
      <c r="E13" s="3">
        <v>52.6</v>
      </c>
      <c r="F13" s="3">
        <v>7.71</v>
      </c>
      <c r="G13" s="3">
        <v>29</v>
      </c>
      <c r="H13" s="3">
        <v>53.46</v>
      </c>
      <c r="I13" s="3">
        <v>9.18</v>
      </c>
      <c r="J13" s="3">
        <v>64</v>
      </c>
    </row>
    <row r="14" spans="1:10" x14ac:dyDescent="0.2">
      <c r="A14" s="3" t="s">
        <v>41</v>
      </c>
      <c r="B14" s="3">
        <v>2012</v>
      </c>
      <c r="C14" s="3" t="s">
        <v>25</v>
      </c>
      <c r="D14" s="3" t="s">
        <v>19</v>
      </c>
      <c r="E14" s="3">
        <v>43.09</v>
      </c>
      <c r="F14" s="3">
        <v>7.82</v>
      </c>
      <c r="G14" s="3">
        <v>29</v>
      </c>
      <c r="H14" s="3">
        <v>42.94</v>
      </c>
      <c r="I14" s="3">
        <v>5.85</v>
      </c>
      <c r="J14" s="3">
        <v>65</v>
      </c>
    </row>
    <row r="15" spans="1:10" x14ac:dyDescent="0.2">
      <c r="A15" s="3" t="s">
        <v>41</v>
      </c>
      <c r="B15" s="3">
        <v>2012</v>
      </c>
      <c r="C15" s="3" t="s">
        <v>25</v>
      </c>
      <c r="D15" s="3" t="s">
        <v>14</v>
      </c>
      <c r="E15" s="3">
        <v>81.349999999999994</v>
      </c>
      <c r="F15" s="3">
        <v>6.71</v>
      </c>
      <c r="G15" s="3">
        <v>29</v>
      </c>
      <c r="H15" s="3">
        <v>79.45</v>
      </c>
      <c r="I15" s="3">
        <v>4.72</v>
      </c>
      <c r="J15" s="3">
        <v>65</v>
      </c>
    </row>
    <row r="16" spans="1:10" x14ac:dyDescent="0.2">
      <c r="A16" s="3" t="s">
        <v>42</v>
      </c>
      <c r="B16" s="3">
        <v>2012</v>
      </c>
      <c r="C16" s="3" t="s">
        <v>24</v>
      </c>
      <c r="D16" s="3" t="s">
        <v>17</v>
      </c>
      <c r="E16" s="3">
        <v>51.51</v>
      </c>
      <c r="F16" s="3">
        <v>4.22</v>
      </c>
      <c r="G16" s="3">
        <v>59</v>
      </c>
      <c r="H16" s="3">
        <v>51.29</v>
      </c>
      <c r="I16" s="3">
        <v>4.1399999999999997</v>
      </c>
      <c r="J16" s="3">
        <v>34</v>
      </c>
    </row>
    <row r="17" spans="1:10" x14ac:dyDescent="0.2">
      <c r="A17" s="3" t="s">
        <v>42</v>
      </c>
      <c r="B17" s="3">
        <v>2012</v>
      </c>
      <c r="C17" s="3" t="s">
        <v>24</v>
      </c>
      <c r="D17" s="3" t="s">
        <v>4</v>
      </c>
      <c r="E17" s="3">
        <v>46</v>
      </c>
      <c r="F17" s="3">
        <v>5.45</v>
      </c>
      <c r="G17" s="3">
        <v>59</v>
      </c>
      <c r="H17" s="3">
        <v>45.9</v>
      </c>
      <c r="I17" s="3">
        <v>4.26</v>
      </c>
      <c r="J17" s="3">
        <v>34</v>
      </c>
    </row>
    <row r="18" spans="1:10" x14ac:dyDescent="0.2">
      <c r="A18" s="3" t="s">
        <v>42</v>
      </c>
      <c r="B18" s="3">
        <v>2012</v>
      </c>
      <c r="C18" s="3" t="s">
        <v>24</v>
      </c>
      <c r="D18" s="3" t="s">
        <v>10</v>
      </c>
      <c r="E18" s="3">
        <v>51.29</v>
      </c>
      <c r="F18" s="3">
        <v>5.91</v>
      </c>
      <c r="G18" s="3">
        <v>59</v>
      </c>
      <c r="H18" s="3">
        <v>52.35</v>
      </c>
      <c r="I18" s="3">
        <v>3.79</v>
      </c>
      <c r="J18" s="3">
        <v>34</v>
      </c>
    </row>
    <row r="19" spans="1:10" x14ac:dyDescent="0.2">
      <c r="A19" s="3" t="s">
        <v>42</v>
      </c>
      <c r="B19" s="3">
        <v>2012</v>
      </c>
      <c r="C19" s="3" t="s">
        <v>24</v>
      </c>
      <c r="D19" s="3" t="s">
        <v>18</v>
      </c>
      <c r="E19" s="3">
        <v>36.51</v>
      </c>
      <c r="F19" s="3">
        <v>4.38</v>
      </c>
      <c r="G19" s="3">
        <v>59</v>
      </c>
      <c r="H19" s="3">
        <v>35.700000000000003</v>
      </c>
      <c r="I19" s="3">
        <v>4.08</v>
      </c>
      <c r="J19" s="3">
        <v>34</v>
      </c>
    </row>
    <row r="20" spans="1:10" x14ac:dyDescent="0.2">
      <c r="A20" s="3" t="s">
        <v>43</v>
      </c>
      <c r="B20" s="3">
        <v>2021</v>
      </c>
      <c r="C20" s="3" t="s">
        <v>25</v>
      </c>
      <c r="D20" s="3" t="s">
        <v>19</v>
      </c>
      <c r="E20" s="3">
        <v>57.7</v>
      </c>
      <c r="F20" s="3">
        <v>7.1</v>
      </c>
      <c r="G20" s="3">
        <v>21</v>
      </c>
      <c r="H20" s="3">
        <v>52.4</v>
      </c>
      <c r="I20" s="3">
        <v>5.5</v>
      </c>
      <c r="J20" s="3">
        <v>37</v>
      </c>
    </row>
    <row r="21" spans="1:10" x14ac:dyDescent="0.2">
      <c r="A21" s="3" t="s">
        <v>43</v>
      </c>
      <c r="B21" s="3">
        <v>2021</v>
      </c>
      <c r="C21" s="3" t="s">
        <v>25</v>
      </c>
      <c r="D21" s="3" t="s">
        <v>9</v>
      </c>
      <c r="E21" s="3">
        <v>47.9</v>
      </c>
      <c r="F21" s="3">
        <v>4.3</v>
      </c>
      <c r="G21" s="3">
        <v>21</v>
      </c>
      <c r="H21" s="3">
        <v>51.1</v>
      </c>
      <c r="I21" s="3">
        <v>5.7</v>
      </c>
      <c r="J21" s="3">
        <v>37</v>
      </c>
    </row>
    <row r="22" spans="1:10" x14ac:dyDescent="0.2">
      <c r="A22" s="3" t="s">
        <v>43</v>
      </c>
      <c r="B22" s="3">
        <v>2021</v>
      </c>
      <c r="C22" s="3" t="s">
        <v>25</v>
      </c>
      <c r="D22" s="3" t="s">
        <v>10</v>
      </c>
      <c r="E22" s="3">
        <v>41.3</v>
      </c>
      <c r="F22" s="3">
        <v>5.6</v>
      </c>
      <c r="G22" s="3">
        <v>21</v>
      </c>
      <c r="H22" s="3">
        <v>39.200000000000003</v>
      </c>
      <c r="I22" s="3">
        <v>4.3</v>
      </c>
      <c r="J22" s="3">
        <v>37</v>
      </c>
    </row>
    <row r="23" spans="1:10" x14ac:dyDescent="0.2">
      <c r="A23" s="3" t="s">
        <v>43</v>
      </c>
      <c r="B23" s="3">
        <v>2021</v>
      </c>
      <c r="C23" s="3" t="s">
        <v>25</v>
      </c>
      <c r="D23" s="3" t="s">
        <v>4</v>
      </c>
      <c r="E23" s="3">
        <v>44.8</v>
      </c>
      <c r="F23" s="3">
        <v>5.4</v>
      </c>
      <c r="G23" s="3">
        <v>21</v>
      </c>
      <c r="H23" s="3">
        <v>42.1</v>
      </c>
      <c r="I23" s="3">
        <v>6.1</v>
      </c>
      <c r="J23" s="3">
        <v>37</v>
      </c>
    </row>
    <row r="24" spans="1:10" x14ac:dyDescent="0.2">
      <c r="A24" s="3" t="s">
        <v>44</v>
      </c>
      <c r="B24" s="3">
        <v>2009</v>
      </c>
      <c r="C24" s="3" t="s">
        <v>24</v>
      </c>
      <c r="D24" s="3" t="s">
        <v>4</v>
      </c>
      <c r="G24" s="3">
        <v>8</v>
      </c>
      <c r="J24" s="3">
        <v>6</v>
      </c>
    </row>
    <row r="25" spans="1:10" x14ac:dyDescent="0.2">
      <c r="A25" s="3" t="s">
        <v>40</v>
      </c>
      <c r="B25" s="3">
        <v>2009</v>
      </c>
      <c r="C25" s="3" t="s">
        <v>25</v>
      </c>
      <c r="D25" s="3" t="s">
        <v>8</v>
      </c>
      <c r="G25" s="3">
        <v>29</v>
      </c>
      <c r="J25" s="3">
        <v>19</v>
      </c>
    </row>
    <row r="26" spans="1:10" x14ac:dyDescent="0.2">
      <c r="A26" s="3" t="s">
        <v>40</v>
      </c>
      <c r="B26" s="3">
        <v>2009</v>
      </c>
      <c r="C26" s="3" t="s">
        <v>25</v>
      </c>
      <c r="D26" s="3" t="s">
        <v>16</v>
      </c>
      <c r="G26" s="3">
        <v>29</v>
      </c>
      <c r="J26" s="3">
        <v>19</v>
      </c>
    </row>
    <row r="27" spans="1:10" x14ac:dyDescent="0.2">
      <c r="A27" s="3" t="s">
        <v>54</v>
      </c>
      <c r="B27" s="3">
        <v>2014</v>
      </c>
      <c r="C27" s="3" t="s">
        <v>25</v>
      </c>
      <c r="D27" s="3" t="s">
        <v>10</v>
      </c>
      <c r="G27" s="3">
        <v>86</v>
      </c>
      <c r="J27" s="3">
        <v>69</v>
      </c>
    </row>
    <row r="28" spans="1:10" x14ac:dyDescent="0.2">
      <c r="A28" s="3" t="s">
        <v>54</v>
      </c>
      <c r="B28" s="3">
        <v>2014</v>
      </c>
      <c r="C28" s="3" t="s">
        <v>25</v>
      </c>
      <c r="D28" s="3" t="s">
        <v>9</v>
      </c>
      <c r="G28" s="3">
        <v>86</v>
      </c>
      <c r="J28" s="3">
        <v>69</v>
      </c>
    </row>
    <row r="29" spans="1:10" x14ac:dyDescent="0.2">
      <c r="A29" s="3" t="s">
        <v>54</v>
      </c>
      <c r="B29" s="3">
        <v>2014</v>
      </c>
      <c r="C29" s="3" t="s">
        <v>25</v>
      </c>
      <c r="D29" s="3" t="s">
        <v>23</v>
      </c>
      <c r="G29" s="3">
        <v>86</v>
      </c>
      <c r="J29" s="3">
        <v>69</v>
      </c>
    </row>
  </sheetData>
  <sortState xmlns:xlrd2="http://schemas.microsoft.com/office/spreadsheetml/2017/richdata2" ref="A2:J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 meta neo R</vt:lpstr>
      <vt:lpstr>Data meta child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Ducreux</dc:creator>
  <cp:lastModifiedBy>Bastien Ducreux</cp:lastModifiedBy>
  <dcterms:created xsi:type="dcterms:W3CDTF">2021-05-17T09:07:26Z</dcterms:created>
  <dcterms:modified xsi:type="dcterms:W3CDTF">2024-05-31T09:44:40Z</dcterms:modified>
</cp:coreProperties>
</file>